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RP Impresion\PrintLab\outputs\plantilla-datos-calculo-demo\"/>
    </mc:Choice>
  </mc:AlternateContent>
  <xr:revisionPtr revIDLastSave="0" documentId="13_ncr:1_{F56EBD98-CF0F-4361-A57D-0E5E1C16184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_Guia" sheetId="1" r:id="rId1"/>
    <sheet name="01_Maquinas" sheetId="2" r:id="rId2"/>
    <sheet name="02_Capacidades" sheetId="3" r:id="rId3"/>
    <sheet name="03_Sustratos" sheetId="4" r:id="rId4"/>
    <sheet name="04_Troqueles" sheetId="5" r:id="rId5"/>
    <sheet name="05_Tintas" sheetId="6" r:id="rId6"/>
    <sheet name="06_Barnices" sheetId="7" r:id="rId7"/>
    <sheet name="07_Laminantes" sheetId="8" r:id="rId8"/>
    <sheet name="08_Foil" sheetId="9" r:id="rId9"/>
    <sheet name="09_Planchas" sheetId="10" r:id="rId10"/>
    <sheet name="10_Mermas_Costos" sheetId="11" r:id="rId11"/>
    <sheet name="11_Listas" sheetId="12" r:id="rId12"/>
  </sheets>
  <calcPr calcId="0"/>
</workbook>
</file>

<file path=xl/sharedStrings.xml><?xml version="1.0" encoding="utf-8"?>
<sst xmlns="http://schemas.openxmlformats.org/spreadsheetml/2006/main" count="628" uniqueCount="355">
  <si>
    <t>Guía de campos para cálculo</t>
  </si>
  <si>
    <t>Campos tomados de los catálogos y fórmulas usados por el cálculo de flexografía/digital. Las hojas siguientes son rellenables por el cliente.</t>
  </si>
  <si>
    <t>Entidad</t>
  </si>
  <si>
    <t>Campo</t>
  </si>
  <si>
    <t>Obligatorio</t>
  </si>
  <si>
    <t>Unidad / valores</t>
  </si>
  <si>
    <t>Uso en cálculo</t>
  </si>
  <si>
    <t>Observación</t>
  </si>
  <si>
    <t>Máquinas</t>
  </si>
  <si>
    <t>Nombre máquina</t>
  </si>
  <si>
    <t>Sí</t>
  </si>
  <si>
    <t>Texto</t>
  </si>
  <si>
    <t>Selecciona el recurso productivo del cálculo.</t>
  </si>
  <si>
    <t>Debe coincidir con el inventario.</t>
  </si>
  <si>
    <t>Tipo / proceso principal</t>
  </si>
  <si>
    <t>Convencional, Digital, Híbrido</t>
  </si>
  <si>
    <t>Define reglas de velocidad, tinta y compatibilidad.</t>
  </si>
  <si>
    <t>Para digital activa consumo/clic y premier.</t>
  </si>
  <si>
    <t>Velocidad producción</t>
  </si>
  <si>
    <t>ft/min o m/min</t>
  </si>
  <si>
    <t>Calcula minutos de corrida.</t>
  </si>
  <si>
    <t>En planchas puede usarse pl/h.</t>
  </si>
  <si>
    <t>Costo hora máquina</t>
  </si>
  <si>
    <t>USD/h</t>
  </si>
  <si>
    <t>Costo máquina = horas x tarifa.</t>
  </si>
  <si>
    <t>Usar costo operativo real.</t>
  </si>
  <si>
    <t>Costo hora operario</t>
  </si>
  <si>
    <t>Costo operario = horas x tarifa.</t>
  </si>
  <si>
    <t>Si participan varias personas, cargarlo en capacidad/proceso.</t>
  </si>
  <si>
    <t>Setup, montaje, limpieza</t>
  </si>
  <si>
    <t>Cond.</t>
  </si>
  <si>
    <t>min</t>
  </si>
  <si>
    <t>Suma tiempo fijo antes de corrida.</t>
  </si>
  <si>
    <t>Necesario para impresión y acabados.</t>
  </si>
  <si>
    <t>Capacidades</t>
  </si>
  <si>
    <t>Proceso / subproceso</t>
  </si>
  <si>
    <t>impresión, grabado láser, revelado, limpieza, secado/curado, barnizado, laminado, estampado/foil, troquelado, rebobinado, empaque</t>
  </si>
  <si>
    <t>Permite que una máquina tenga varias operaciones.</t>
  </si>
  <si>
    <t>Ej. una flexo imprime, lamina y troquela inline.</t>
  </si>
  <si>
    <t>Sustratos</t>
  </si>
  <si>
    <t>Código y nombre</t>
  </si>
  <si>
    <t>Identifica el material seleccionado.</t>
  </si>
  <si>
    <t>Código puede ser SKU/SAP.</t>
  </si>
  <si>
    <t>Ancho</t>
  </si>
  <si>
    <t>mm</t>
  </si>
  <si>
    <t>Determina ancho de bobina y costo por pie.</t>
  </si>
  <si>
    <t>Debe ser ancho disponible del rollo.</t>
  </si>
  <si>
    <t>Costo MSI o m²</t>
  </si>
  <si>
    <t>USD/MSI o USD/m²</t>
  </si>
  <si>
    <t>Calcula costo variable de sustrato.</t>
  </si>
  <si>
    <t>Completar al menos una unidad de costo.</t>
  </si>
  <si>
    <t>Gramaje / calibre</t>
  </si>
  <si>
    <t>g/m², micras</t>
  </si>
  <si>
    <t>Ayuda a validar material y consumo.</t>
  </si>
  <si>
    <t>Más importante en films y papeles técnicos.</t>
  </si>
  <si>
    <t>Superficie / premier</t>
  </si>
  <si>
    <t>poroso, no_poroso, Sí/No</t>
  </si>
  <si>
    <t>Activa tratamiento premier en digital.</t>
  </si>
  <si>
    <t>Si ya viene pretratado, marcar premier preaplicado.</t>
  </si>
  <si>
    <t>Troqueles</t>
  </si>
  <si>
    <t>Código troquel</t>
  </si>
  <si>
    <t>Selecciona troquel en cálculo.</t>
  </si>
  <si>
    <t>Debe ser único.</t>
  </si>
  <si>
    <t>Ancho, largo, filas, repeticiones</t>
  </si>
  <si>
    <t>mm, unidades</t>
  </si>
  <si>
    <t>Calcula etiquetas por repetición y desarrollo.</t>
  </si>
  <si>
    <t>Base para cilindro/material.</t>
  </si>
  <si>
    <t>Desarrollo, elongación, dientes</t>
  </si>
  <si>
    <t>in, %, entero</t>
  </si>
  <si>
    <t>Usado en planchas y validación técnica.</t>
  </si>
  <si>
    <t>Indispensable para flexo precisa.</t>
  </si>
  <si>
    <t>Tintas</t>
  </si>
  <si>
    <t>Costo por libra/kg</t>
  </si>
  <si>
    <t>USD/lb o USD/kg</t>
  </si>
  <si>
    <t>Valora consumo de tinta.</t>
  </si>
  <si>
    <t>Convencional usa USD/lb; digital usa USD/kg.</t>
  </si>
  <si>
    <t>BCM, cobertura, densidad, GSM</t>
  </si>
  <si>
    <t>BCM, %, g/m²</t>
  </si>
  <si>
    <t>Convierte área impresa en consumo.</t>
  </si>
  <si>
    <t>CMYK, blanco, pantone y barniz tienen perfiles distintos.</t>
  </si>
  <si>
    <t>Barnices</t>
  </si>
  <si>
    <t>Costo y rendimiento</t>
  </si>
  <si>
    <t>USD/lb, USD/kg, g/ft² o g/m²</t>
  </si>
  <si>
    <t>Calcula consumo del barniz.</t>
  </si>
  <si>
    <t>Puede usarse como inline o acabado externo.</t>
  </si>
  <si>
    <t>Laminantes</t>
  </si>
  <si>
    <t>Ancho, costo ft²/m², merma</t>
  </si>
  <si>
    <t>mm, USD/ft², %</t>
  </si>
  <si>
    <t>Calcula área laminada con merma.</t>
  </si>
  <si>
    <t>Ancho real del laminante.</t>
  </si>
  <si>
    <t>Foil</t>
  </si>
  <si>
    <t>Ancho, costo ft²/pie, merma</t>
  </si>
  <si>
    <t>mm, USD/ft² o USD/pie, %</t>
  </si>
  <si>
    <t>Calcula estampado/foil.</t>
  </si>
  <si>
    <t>Registrar color/acabado.</t>
  </si>
  <si>
    <t>Planchas</t>
  </si>
  <si>
    <t>Tamaño, costo lámina/in², velocidad</t>
  </si>
  <si>
    <t>mm, USD, pl/h</t>
  </si>
  <si>
    <t>Calcula plancha virgen e inventario.</t>
  </si>
  <si>
    <t>También se usa grabado láser.</t>
  </si>
  <si>
    <t>Mermas</t>
  </si>
  <si>
    <t>Setup waste y merma operación</t>
  </si>
  <si>
    <t>ft, %</t>
  </si>
  <si>
    <t>Suma desperdicio por montaje y tiraje.</t>
  </si>
  <si>
    <t>Separar impresión, laminado, foil, barniz, troquelado.</t>
  </si>
  <si>
    <t>Costos mínimos</t>
  </si>
  <si>
    <t>Costo mínimo por proceso</t>
  </si>
  <si>
    <t>USD</t>
  </si>
  <si>
    <t>Aplica mínimo si subtotal queda menor.</t>
  </si>
  <si>
    <t>Útil para demo y cotizaciones pequeñas.</t>
  </si>
  <si>
    <t>Una fila por máquina. Para procesos específicos usar también la hoja 02_Capacidades.</t>
  </si>
  <si>
    <t>Marca</t>
  </si>
  <si>
    <t>Modelo</t>
  </si>
  <si>
    <t>Tipo</t>
  </si>
  <si>
    <t>Proceso principal</t>
  </si>
  <si>
    <t>Subproceso</t>
  </si>
  <si>
    <t>Ancho máx. in</t>
  </si>
  <si>
    <t>Velocidad</t>
  </si>
  <si>
    <t>Unidad velocidad</t>
  </si>
  <si>
    <t>Costo máquina USD/h</t>
  </si>
  <si>
    <t>Costo operario USD/h</t>
  </si>
  <si>
    <t>Setup min</t>
  </si>
  <si>
    <t>Montaje min</t>
  </si>
  <si>
    <t>Merma setup</t>
  </si>
  <si>
    <t>Unidad merma</t>
  </si>
  <si>
    <t>Base merma</t>
  </si>
  <si>
    <t>Activa</t>
  </si>
  <si>
    <t>Notas</t>
  </si>
  <si>
    <t>FLEXO 8C</t>
  </si>
  <si>
    <t>Nilpeter</t>
  </si>
  <si>
    <t>FA-17</t>
  </si>
  <si>
    <t>Convencional</t>
  </si>
  <si>
    <t>impresión</t>
  </si>
  <si>
    <t>flexografía</t>
  </si>
  <si>
    <t>ft/min</t>
  </si>
  <si>
    <t>pies</t>
  </si>
  <si>
    <t>trabajo</t>
  </si>
  <si>
    <t>Ejemplo demo</t>
  </si>
  <si>
    <t>DIGITAL HP</t>
  </si>
  <si>
    <t>HP</t>
  </si>
  <si>
    <t>Indigo</t>
  </si>
  <si>
    <t>Digital</t>
  </si>
  <si>
    <t>digital</t>
  </si>
  <si>
    <t>m/min</t>
  </si>
  <si>
    <t>Usar datos reales si aplica</t>
  </si>
  <si>
    <t>Capacidades por máquina</t>
  </si>
  <si>
    <t>Una máquina puede tener varias capacidades: impresión, barniz inline, laminado, foil, troquelado, grabado láser, revelado, etc.</t>
  </si>
  <si>
    <t>Clasificación</t>
  </si>
  <si>
    <t>Proceso</t>
  </si>
  <si>
    <t>Unidad trabajo</t>
  </si>
  <si>
    <t>Setup general min</t>
  </si>
  <si>
    <t>Setup adicional min</t>
  </si>
  <si>
    <t>Tiempo estación min</t>
  </si>
  <si>
    <t>Factor área</t>
  </si>
  <si>
    <t>Fórmula tiempo</t>
  </si>
  <si>
    <t>Fórmula costo</t>
  </si>
  <si>
    <t>producción</t>
  </si>
  <si>
    <t>pies lineales</t>
  </si>
  <si>
    <t>Longitud / velocidad + setup</t>
  </si>
  <si>
    <t>Horas x costos</t>
  </si>
  <si>
    <t>CDI ESKO</t>
  </si>
  <si>
    <t>preprensa</t>
  </si>
  <si>
    <t>grabado láser</t>
  </si>
  <si>
    <t>planchas</t>
  </si>
  <si>
    <t>planchas/h</t>
  </si>
  <si>
    <t>pl/h</t>
  </si>
  <si>
    <t>Área total / área procesada</t>
  </si>
  <si>
    <t>Para planchas</t>
  </si>
  <si>
    <t>Completar al menos ancho y un costo útil: MSI, m², ft², kg o unidad según cómo compre el material.</t>
  </si>
  <si>
    <t>Código</t>
  </si>
  <si>
    <t>Nombre</t>
  </si>
  <si>
    <t>Familia proceso</t>
  </si>
  <si>
    <t>Familia comercial</t>
  </si>
  <si>
    <t>Ancho mm</t>
  </si>
  <si>
    <t>Largo mm</t>
  </si>
  <si>
    <t>Gramaje g/m²</t>
  </si>
  <si>
    <t>Calibre micras</t>
  </si>
  <si>
    <t>Costo lámina USD</t>
  </si>
  <si>
    <t>Costo MSI USD</t>
  </si>
  <si>
    <t>Costo m² USD</t>
  </si>
  <si>
    <t>Costo ft² USD</t>
  </si>
  <si>
    <t>Costo kg USD</t>
  </si>
  <si>
    <t>Costo libra USD</t>
  </si>
  <si>
    <t>Costo unidad USD</t>
  </si>
  <si>
    <t>Merma %</t>
  </si>
  <si>
    <t>Superficie</t>
  </si>
  <si>
    <t>Requiere premier</t>
  </si>
  <si>
    <t>Premier preaplicado</t>
  </si>
  <si>
    <t>Premier g/m²</t>
  </si>
  <si>
    <t>Premier costo kg USD</t>
  </si>
  <si>
    <t>Premier costo m² USD</t>
  </si>
  <si>
    <t>Compatible convencional</t>
  </si>
  <si>
    <t>Compatible digital</t>
  </si>
  <si>
    <t>Activo</t>
  </si>
  <si>
    <t>SUB-001</t>
  </si>
  <si>
    <t>BOPP blanco 60 micras</t>
  </si>
  <si>
    <t>sustrato</t>
  </si>
  <si>
    <t>BOPP</t>
  </si>
  <si>
    <t>no_poroso</t>
  </si>
  <si>
    <t>No</t>
  </si>
  <si>
    <t>PAP-001</t>
  </si>
  <si>
    <t>Papel adhesivo semi gloss</t>
  </si>
  <si>
    <t>Papel</t>
  </si>
  <si>
    <t>poroso</t>
  </si>
  <si>
    <t>Una fila por troquel. Los campos geométricos alimentan etiquetas por repetición, desarrollo y validación de planchas.</t>
  </si>
  <si>
    <t>Descripción</t>
  </si>
  <si>
    <t>Código cliente</t>
  </si>
  <si>
    <t>Código preprensa</t>
  </si>
  <si>
    <t>Código proveedor</t>
  </si>
  <si>
    <t>Desarrollo cm</t>
  </si>
  <si>
    <t>Desarrollo in</t>
  </si>
  <si>
    <t>Elongación %</t>
  </si>
  <si>
    <t>Elongado</t>
  </si>
  <si>
    <t>Ancho total troquel in</t>
  </si>
  <si>
    <t>Largo total troquel in</t>
  </si>
  <si>
    <t>Ancho etiqueta in</t>
  </si>
  <si>
    <t>Largo etiqueta in</t>
  </si>
  <si>
    <t>Ancho material in</t>
  </si>
  <si>
    <t>Área etiqueta in²</t>
  </si>
  <si>
    <t>Área troquel in²</t>
  </si>
  <si>
    <t>Estructura</t>
  </si>
  <si>
    <t>Formato</t>
  </si>
  <si>
    <t>Gap in</t>
  </si>
  <si>
    <t>Montaje</t>
  </si>
  <si>
    <t>Proveedor</t>
  </si>
  <si>
    <t>Tensión</t>
  </si>
  <si>
    <t>Tipo troquel</t>
  </si>
  <si>
    <t>Uso convencional</t>
  </si>
  <si>
    <t>Uso digital</t>
  </si>
  <si>
    <t>Filas</t>
  </si>
  <si>
    <t>Dientes</t>
  </si>
  <si>
    <t>Repeticiones</t>
  </si>
  <si>
    <t>Estado</t>
  </si>
  <si>
    <t>Observaciones</t>
  </si>
  <si>
    <t>TQ-1001</t>
  </si>
  <si>
    <t>Etiqueta rectangular 50 x 80</t>
  </si>
  <si>
    <t>etiqueta</t>
  </si>
  <si>
    <t>CLI-01</t>
  </si>
  <si>
    <t>PRE-01</t>
  </si>
  <si>
    <t>PROV-01</t>
  </si>
  <si>
    <t>2 x 3</t>
  </si>
  <si>
    <t>rollo</t>
  </si>
  <si>
    <t>2 filas x 3 rep.</t>
  </si>
  <si>
    <t>Proveedor A</t>
  </si>
  <si>
    <t>media</t>
  </si>
  <si>
    <t>flexo</t>
  </si>
  <si>
    <t>Bueno</t>
  </si>
  <si>
    <t>Completar costos y parámetros de consumo. Convencional usa costo por libra; digital usa costo por kg o clic.</t>
  </si>
  <si>
    <t>Nombre / color</t>
  </si>
  <si>
    <t>Tipo tinta</t>
  </si>
  <si>
    <t>Sistema</t>
  </si>
  <si>
    <t>BCM ref.</t>
  </si>
  <si>
    <t>Cobertura %</t>
  </si>
  <si>
    <t>Cobertura diseño %</t>
  </si>
  <si>
    <t>Densidad</t>
  </si>
  <si>
    <t>GSM ref.</t>
  </si>
  <si>
    <t>Factor transferencia</t>
  </si>
  <si>
    <t>Consumo digital g/m²</t>
  </si>
  <si>
    <t>Factor merma digital</t>
  </si>
  <si>
    <t>Tipo cobro digital</t>
  </si>
  <si>
    <t>Tarifa clic USD</t>
  </si>
  <si>
    <t>Modo clic</t>
  </si>
  <si>
    <t>Costo lavado especial USD</t>
  </si>
  <si>
    <t>TINTA-CMYK</t>
  </si>
  <si>
    <t>CMYK proceso</t>
  </si>
  <si>
    <t>tinta</t>
  </si>
  <si>
    <t>CMYK</t>
  </si>
  <si>
    <t>UV</t>
  </si>
  <si>
    <t>consumo</t>
  </si>
  <si>
    <t>por_estacion</t>
  </si>
  <si>
    <t>Perfil general demo</t>
  </si>
  <si>
    <t>TINTA-BLANCO</t>
  </si>
  <si>
    <t>Blanco opaco</t>
  </si>
  <si>
    <t>Blanco</t>
  </si>
  <si>
    <t>Para barniz inline o externo. Si se compra por peso, completar costo kg/libra y rendimiento; si se compra por área, completar costo ft²/m².</t>
  </si>
  <si>
    <t>Tipo barniz</t>
  </si>
  <si>
    <t>Rendimiento g/ft²</t>
  </si>
  <si>
    <t>Peso capa g/m²</t>
  </si>
  <si>
    <t>Compatible inline</t>
  </si>
  <si>
    <t>Compatible externo</t>
  </si>
  <si>
    <t>BAR-UV-01</t>
  </si>
  <si>
    <t>Barniz UV brillante</t>
  </si>
  <si>
    <t>barniz</t>
  </si>
  <si>
    <t>UV brillante</t>
  </si>
  <si>
    <t>Usado como perfil de depósito</t>
  </si>
  <si>
    <t>Para laminado inline o externo. Completar ancho real y costo por área o unidad según compra.</t>
  </si>
  <si>
    <t>Tipo laminado</t>
  </si>
  <si>
    <t>Acabado</t>
  </si>
  <si>
    <t>LAM-MATE-01</t>
  </si>
  <si>
    <t>Laminante mate 1.2 mil</t>
  </si>
  <si>
    <t>laminado</t>
  </si>
  <si>
    <t>OPP</t>
  </si>
  <si>
    <t>mate</t>
  </si>
  <si>
    <t>Foil / Estampado</t>
  </si>
  <si>
    <t>Para estampado foil. El cálculo puede valorar por área, por pie o por unidad según el dato disponible.</t>
  </si>
  <si>
    <t>Color / acabado</t>
  </si>
  <si>
    <t>Largo rollo m</t>
  </si>
  <si>
    <t>Costo pie USD</t>
  </si>
  <si>
    <t>Temperatura °C</t>
  </si>
  <si>
    <t>Tipo transferencia</t>
  </si>
  <si>
    <t>FOIL-ORO-01</t>
  </si>
  <si>
    <t>Foil oro brillante</t>
  </si>
  <si>
    <t>foil</t>
  </si>
  <si>
    <t>oro brillante</t>
  </si>
  <si>
    <t>hot stamping</t>
  </si>
  <si>
    <t>Recomendado aunque no lo pidieras directamente: el cálculo usa plancha virgen, costo externo o inventario.</t>
  </si>
  <si>
    <t>Tipo plancha</t>
  </si>
  <si>
    <t>Espesor mm</t>
  </si>
  <si>
    <t>Costo in² USD</t>
  </si>
  <si>
    <t>Compatible máquina</t>
  </si>
  <si>
    <t>Velocidad grabado pl/h</t>
  </si>
  <si>
    <t>Margen pegado in</t>
  </si>
  <si>
    <t>PLC-001</t>
  </si>
  <si>
    <t>Plancha virgen Cyrel</t>
  </si>
  <si>
    <t>plancha</t>
  </si>
  <si>
    <t>fotopolímero</t>
  </si>
  <si>
    <t>El costo in² puede derivarse de lámina/ancho/largo</t>
  </si>
  <si>
    <t>Mermas y costos por proceso</t>
  </si>
  <si>
    <t>Completar pérdidas por setup/tiraje y costos mínimos. Estos valores alimentan merma, acabados y mínimos de cotización.</t>
  </si>
  <si>
    <t>Costo mínimo USD</t>
  </si>
  <si>
    <t>Setup waste ft</t>
  </si>
  <si>
    <t>Merma operación %</t>
  </si>
  <si>
    <t>Minutos por estación</t>
  </si>
  <si>
    <t>Merma montaje ft/est.</t>
  </si>
  <si>
    <t>Cantidad tintas ref.</t>
  </si>
  <si>
    <t>Merma tiraje %</t>
  </si>
  <si>
    <t>Costo fijo USD</t>
  </si>
  <si>
    <t>Repetible</t>
  </si>
  <si>
    <t>Base convencional demo</t>
  </si>
  <si>
    <t>Acabado externo o inline</t>
  </si>
  <si>
    <t>estampado/foil</t>
  </si>
  <si>
    <t>barnizado</t>
  </si>
  <si>
    <t>Barniz UV</t>
  </si>
  <si>
    <t>troquelado</t>
  </si>
  <si>
    <t>Troquelado externo</t>
  </si>
  <si>
    <t>Listas de referencia</t>
  </si>
  <si>
    <t>Valores sugeridos para respuestas consistentes. Si el cliente usa otro valor, puede escribirlo en notas.</t>
  </si>
  <si>
    <t>Lista</t>
  </si>
  <si>
    <t>Valor</t>
  </si>
  <si>
    <t>Uso</t>
  </si>
  <si>
    <t>Materiales</t>
  </si>
  <si>
    <t>core</t>
  </si>
  <si>
    <t>Sí/No</t>
  </si>
  <si>
    <t>Checks</t>
  </si>
  <si>
    <t>rollos/h</t>
  </si>
  <si>
    <t>Capacidades y mermas</t>
  </si>
  <si>
    <t>revelado</t>
  </si>
  <si>
    <t>limpieza</t>
  </si>
  <si>
    <t>secado/curado</t>
  </si>
  <si>
    <t>rebobinado</t>
  </si>
  <si>
    <t>empaque</t>
  </si>
  <si>
    <t>Tipo superficie</t>
  </si>
  <si>
    <t>Tintas/Máquinas digitales</t>
  </si>
  <si>
    <t>clic</t>
  </si>
  <si>
    <t>por_vuelta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</si>
</sst>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Aptos"/>
    </font>
    <font>
      <sz val="11"/>
      <name val="Aptos"/>
    </font>
    <font>
      <sz val="11"/>
      <color rgb="FF243447"/>
      <name val="Aptos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02033"/>
      </patternFill>
    </fill>
    <fill>
      <patternFill patternType="solid">
        <fgColor rgb="FFEEF2F6"/>
      </patternFill>
    </fill>
    <fill>
      <patternFill patternType="solid">
        <fgColor rgb="FF2F6B4F"/>
      </patternFill>
    </fill>
    <fill>
      <patternFill patternType="solid">
        <fgColor rgb="FFFFF7DF"/>
      </patternFill>
    </fill>
    <fill>
      <patternFill patternType="solid">
        <fgColor rgb="FF1F4E78"/>
      </patternFill>
    </fill>
    <fill>
      <patternFill patternType="solid">
        <fgColor rgb="FFB07D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4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tabSelected="1" workbookViewId="0">
      <selection activeCell="B21" sqref="B21"/>
    </sheetView>
  </sheetViews>
  <sheetFormatPr baseColWidth="10" defaultColWidth="9" defaultRowHeight="14.25"/>
  <cols>
    <col min="1" max="1" width="14" bestFit="1" customWidth="1"/>
    <col min="2" max="2" width="30.625" bestFit="1" customWidth="1"/>
    <col min="3" max="3" width="10.5" bestFit="1" customWidth="1"/>
    <col min="4" max="4" width="110.625" bestFit="1" customWidth="1"/>
    <col min="5" max="5" width="43.375" bestFit="1" customWidth="1"/>
    <col min="6" max="6" width="51.25" bestFit="1" customWidth="1"/>
  </cols>
  <sheetData>
    <row r="1" spans="1:6" ht="22.5" customHeight="1">
      <c r="A1" s="7" t="s">
        <v>0</v>
      </c>
      <c r="B1" s="8"/>
      <c r="C1" s="8"/>
      <c r="D1" s="8"/>
      <c r="E1" s="8"/>
      <c r="F1" s="8"/>
    </row>
    <row r="2" spans="1:6" ht="25.5" customHeight="1">
      <c r="A2" s="9" t="s">
        <v>1</v>
      </c>
      <c r="B2" s="8"/>
      <c r="C2" s="8"/>
      <c r="D2" s="8"/>
      <c r="E2" s="8"/>
      <c r="F2" s="8"/>
    </row>
    <row r="3" spans="1:6" ht="15">
      <c r="A3" s="2"/>
      <c r="B3" s="2"/>
      <c r="C3" s="2"/>
      <c r="D3" s="2"/>
      <c r="E3" s="2"/>
      <c r="F3" s="2"/>
    </row>
    <row r="4" spans="1:6" ht="3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5.5" customHeight="1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ht="25.5" customHeight="1">
      <c r="A6" s="4" t="s">
        <v>8</v>
      </c>
      <c r="B6" s="4" t="s">
        <v>14</v>
      </c>
      <c r="C6" s="4" t="s">
        <v>10</v>
      </c>
      <c r="D6" s="4" t="s">
        <v>15</v>
      </c>
      <c r="E6" s="4" t="s">
        <v>16</v>
      </c>
      <c r="F6" s="4" t="s">
        <v>17</v>
      </c>
    </row>
    <row r="7" spans="1:6" ht="25.5" customHeight="1">
      <c r="A7" s="4" t="s">
        <v>8</v>
      </c>
      <c r="B7" s="4" t="s">
        <v>18</v>
      </c>
      <c r="C7" s="4" t="s">
        <v>10</v>
      </c>
      <c r="D7" s="4" t="s">
        <v>19</v>
      </c>
      <c r="E7" s="4" t="s">
        <v>20</v>
      </c>
      <c r="F7" s="4" t="s">
        <v>21</v>
      </c>
    </row>
    <row r="8" spans="1:6" ht="25.5" customHeight="1">
      <c r="A8" s="4" t="s">
        <v>8</v>
      </c>
      <c r="B8" s="4" t="s">
        <v>22</v>
      </c>
      <c r="C8" s="4" t="s">
        <v>10</v>
      </c>
      <c r="D8" s="4" t="s">
        <v>23</v>
      </c>
      <c r="E8" s="4" t="s">
        <v>24</v>
      </c>
      <c r="F8" s="4" t="s">
        <v>25</v>
      </c>
    </row>
    <row r="9" spans="1:6" ht="25.5" customHeight="1">
      <c r="A9" s="4" t="s">
        <v>8</v>
      </c>
      <c r="B9" s="4" t="s">
        <v>26</v>
      </c>
      <c r="C9" s="4" t="s">
        <v>10</v>
      </c>
      <c r="D9" s="4" t="s">
        <v>23</v>
      </c>
      <c r="E9" s="4" t="s">
        <v>27</v>
      </c>
      <c r="F9" s="4" t="s">
        <v>28</v>
      </c>
    </row>
    <row r="10" spans="1:6" ht="25.5" customHeight="1">
      <c r="A10" s="4" t="s">
        <v>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 ht="25.5" customHeight="1">
      <c r="A11" s="4" t="s">
        <v>34</v>
      </c>
      <c r="B11" s="4" t="s">
        <v>35</v>
      </c>
      <c r="C11" s="4" t="s">
        <v>10</v>
      </c>
      <c r="D11" s="4" t="s">
        <v>36</v>
      </c>
      <c r="E11" s="4" t="s">
        <v>37</v>
      </c>
      <c r="F11" s="4" t="s">
        <v>38</v>
      </c>
    </row>
    <row r="12" spans="1:6" ht="25.5" customHeight="1">
      <c r="A12" s="4" t="s">
        <v>39</v>
      </c>
      <c r="B12" s="4" t="s">
        <v>40</v>
      </c>
      <c r="C12" s="4" t="s">
        <v>10</v>
      </c>
      <c r="D12" s="4" t="s">
        <v>11</v>
      </c>
      <c r="E12" s="4" t="s">
        <v>41</v>
      </c>
      <c r="F12" s="4" t="s">
        <v>42</v>
      </c>
    </row>
    <row r="13" spans="1:6" ht="25.5" customHeight="1">
      <c r="A13" s="4" t="s">
        <v>39</v>
      </c>
      <c r="B13" s="4" t="s">
        <v>43</v>
      </c>
      <c r="C13" s="4" t="s">
        <v>10</v>
      </c>
      <c r="D13" s="4" t="s">
        <v>44</v>
      </c>
      <c r="E13" s="4" t="s">
        <v>45</v>
      </c>
      <c r="F13" s="4" t="s">
        <v>46</v>
      </c>
    </row>
    <row r="14" spans="1:6" ht="25.5" customHeight="1">
      <c r="A14" s="4" t="s">
        <v>39</v>
      </c>
      <c r="B14" s="4" t="s">
        <v>47</v>
      </c>
      <c r="C14" s="4" t="s">
        <v>10</v>
      </c>
      <c r="D14" s="4" t="s">
        <v>48</v>
      </c>
      <c r="E14" s="4" t="s">
        <v>49</v>
      </c>
      <c r="F14" s="4" t="s">
        <v>50</v>
      </c>
    </row>
    <row r="15" spans="1:6" ht="25.5" customHeight="1">
      <c r="A15" s="4" t="s">
        <v>39</v>
      </c>
      <c r="B15" s="4" t="s">
        <v>51</v>
      </c>
      <c r="C15" s="4" t="s">
        <v>30</v>
      </c>
      <c r="D15" s="4" t="s">
        <v>52</v>
      </c>
      <c r="E15" s="4" t="s">
        <v>53</v>
      </c>
      <c r="F15" s="4" t="s">
        <v>54</v>
      </c>
    </row>
    <row r="16" spans="1:6" ht="25.5" customHeight="1">
      <c r="A16" s="4" t="s">
        <v>39</v>
      </c>
      <c r="B16" s="4" t="s">
        <v>55</v>
      </c>
      <c r="C16" s="4" t="s">
        <v>30</v>
      </c>
      <c r="D16" s="4" t="s">
        <v>56</v>
      </c>
      <c r="E16" s="4" t="s">
        <v>57</v>
      </c>
      <c r="F16" s="4" t="s">
        <v>58</v>
      </c>
    </row>
    <row r="17" spans="1:6" ht="25.5" customHeight="1">
      <c r="A17" s="4" t="s">
        <v>59</v>
      </c>
      <c r="B17" s="4" t="s">
        <v>60</v>
      </c>
      <c r="C17" s="4" t="s">
        <v>10</v>
      </c>
      <c r="D17" s="4" t="s">
        <v>11</v>
      </c>
      <c r="E17" s="4" t="s">
        <v>61</v>
      </c>
      <c r="F17" s="4" t="s">
        <v>62</v>
      </c>
    </row>
    <row r="18" spans="1:6" ht="25.5" customHeight="1">
      <c r="A18" s="4" t="s">
        <v>59</v>
      </c>
      <c r="B18" s="4" t="s">
        <v>63</v>
      </c>
      <c r="C18" s="4" t="s">
        <v>10</v>
      </c>
      <c r="D18" s="4" t="s">
        <v>64</v>
      </c>
      <c r="E18" s="4" t="s">
        <v>65</v>
      </c>
      <c r="F18" s="4" t="s">
        <v>66</v>
      </c>
    </row>
    <row r="19" spans="1:6" ht="25.5" customHeight="1">
      <c r="A19" s="4" t="s">
        <v>59</v>
      </c>
      <c r="B19" s="4" t="s">
        <v>67</v>
      </c>
      <c r="C19" s="4" t="s">
        <v>30</v>
      </c>
      <c r="D19" s="4" t="s">
        <v>68</v>
      </c>
      <c r="E19" s="4" t="s">
        <v>69</v>
      </c>
      <c r="F19" s="4" t="s">
        <v>70</v>
      </c>
    </row>
    <row r="20" spans="1:6" ht="25.5" customHeight="1">
      <c r="A20" s="4" t="s">
        <v>71</v>
      </c>
      <c r="B20" s="4" t="s">
        <v>72</v>
      </c>
      <c r="C20" s="4" t="s">
        <v>10</v>
      </c>
      <c r="D20" s="4" t="s">
        <v>73</v>
      </c>
      <c r="E20" s="4" t="s">
        <v>74</v>
      </c>
      <c r="F20" s="4" t="s">
        <v>75</v>
      </c>
    </row>
    <row r="21" spans="1:6" ht="25.5" customHeight="1">
      <c r="A21" s="4" t="s">
        <v>71</v>
      </c>
      <c r="B21" s="4" t="s">
        <v>76</v>
      </c>
      <c r="C21" s="4" t="s">
        <v>10</v>
      </c>
      <c r="D21" s="4" t="s">
        <v>77</v>
      </c>
      <c r="E21" s="4" t="s">
        <v>78</v>
      </c>
      <c r="F21" s="4" t="s">
        <v>79</v>
      </c>
    </row>
    <row r="22" spans="1:6" ht="25.5" customHeight="1">
      <c r="A22" s="4" t="s">
        <v>80</v>
      </c>
      <c r="B22" s="4" t="s">
        <v>81</v>
      </c>
      <c r="C22" s="4" t="s">
        <v>10</v>
      </c>
      <c r="D22" s="4" t="s">
        <v>82</v>
      </c>
      <c r="E22" s="4" t="s">
        <v>83</v>
      </c>
      <c r="F22" s="4" t="s">
        <v>84</v>
      </c>
    </row>
    <row r="23" spans="1:6" ht="25.5" customHeight="1">
      <c r="A23" s="4" t="s">
        <v>85</v>
      </c>
      <c r="B23" s="4" t="s">
        <v>86</v>
      </c>
      <c r="C23" s="4" t="s">
        <v>10</v>
      </c>
      <c r="D23" s="4" t="s">
        <v>87</v>
      </c>
      <c r="E23" s="4" t="s">
        <v>88</v>
      </c>
      <c r="F23" s="4" t="s">
        <v>89</v>
      </c>
    </row>
    <row r="24" spans="1:6" ht="25.5" customHeight="1">
      <c r="A24" s="4" t="s">
        <v>90</v>
      </c>
      <c r="B24" s="4" t="s">
        <v>91</v>
      </c>
      <c r="C24" s="4" t="s">
        <v>10</v>
      </c>
      <c r="D24" s="4" t="s">
        <v>92</v>
      </c>
      <c r="E24" s="4" t="s">
        <v>93</v>
      </c>
      <c r="F24" s="4" t="s">
        <v>94</v>
      </c>
    </row>
    <row r="25" spans="1:6" ht="25.5" customHeight="1">
      <c r="A25" s="4" t="s">
        <v>95</v>
      </c>
      <c r="B25" s="4" t="s">
        <v>96</v>
      </c>
      <c r="C25" s="4" t="s">
        <v>10</v>
      </c>
      <c r="D25" s="4" t="s">
        <v>97</v>
      </c>
      <c r="E25" s="4" t="s">
        <v>98</v>
      </c>
      <c r="F25" s="4" t="s">
        <v>99</v>
      </c>
    </row>
    <row r="26" spans="1:6" ht="25.5" customHeight="1">
      <c r="A26" s="4" t="s">
        <v>100</v>
      </c>
      <c r="B26" s="4" t="s">
        <v>101</v>
      </c>
      <c r="C26" s="4" t="s">
        <v>10</v>
      </c>
      <c r="D26" s="4" t="s">
        <v>102</v>
      </c>
      <c r="E26" s="4" t="s">
        <v>103</v>
      </c>
      <c r="F26" s="4" t="s">
        <v>104</v>
      </c>
    </row>
    <row r="27" spans="1:6" ht="25.5" customHeight="1">
      <c r="A27" s="4" t="s">
        <v>105</v>
      </c>
      <c r="B27" s="4" t="s">
        <v>106</v>
      </c>
      <c r="C27" s="4" t="s">
        <v>30</v>
      </c>
      <c r="D27" s="4" t="s">
        <v>107</v>
      </c>
      <c r="E27" s="4" t="s">
        <v>108</v>
      </c>
      <c r="F27" s="4" t="s">
        <v>109</v>
      </c>
    </row>
    <row r="28" spans="1:6" ht="25.5" customHeight="1">
      <c r="A28" s="1"/>
      <c r="B28" s="1"/>
      <c r="C28" s="1"/>
      <c r="D28" s="1"/>
      <c r="E28" s="1"/>
      <c r="F28" s="1"/>
    </row>
    <row r="29" spans="1:6" ht="25.5" customHeight="1">
      <c r="A29" s="1"/>
      <c r="B29" s="1"/>
      <c r="C29" s="1"/>
      <c r="D29" s="1"/>
      <c r="E29" s="1"/>
      <c r="F29" s="1"/>
    </row>
    <row r="30" spans="1:6" ht="25.5" customHeight="1">
      <c r="A30" s="1"/>
      <c r="B30" s="1"/>
      <c r="C30" s="1"/>
      <c r="D30" s="1"/>
      <c r="E30" s="1"/>
      <c r="F30" s="1"/>
    </row>
    <row r="31" spans="1:6" ht="25.5" customHeight="1">
      <c r="A31" s="1"/>
      <c r="B31" s="1"/>
      <c r="C31" s="1"/>
      <c r="D31" s="1"/>
      <c r="E31" s="1"/>
      <c r="F31" s="1"/>
    </row>
    <row r="32" spans="1:6" ht="25.5" customHeight="1">
      <c r="A32" s="1"/>
      <c r="B32" s="1"/>
      <c r="C32" s="1"/>
      <c r="D32" s="1"/>
      <c r="E32" s="1"/>
      <c r="F32" s="1"/>
    </row>
    <row r="33" spans="1:6" ht="25.5" customHeight="1">
      <c r="A33" s="1"/>
      <c r="B33" s="1"/>
      <c r="C33" s="1"/>
      <c r="D33" s="1"/>
      <c r="E33" s="1"/>
      <c r="F33" s="1"/>
    </row>
    <row r="34" spans="1:6" ht="25.5" customHeight="1">
      <c r="A34" s="1"/>
      <c r="B34" s="1"/>
      <c r="C34" s="1"/>
      <c r="D34" s="1"/>
      <c r="E34" s="1"/>
      <c r="F34" s="1"/>
    </row>
    <row r="35" spans="1:6" ht="25.5" customHeight="1">
      <c r="A35" s="1"/>
      <c r="B35" s="1"/>
      <c r="C35" s="1"/>
      <c r="D35" s="1"/>
      <c r="E35" s="1"/>
      <c r="F35" s="1"/>
    </row>
    <row r="36" spans="1:6" ht="25.5" customHeight="1">
      <c r="A36" s="1"/>
      <c r="B36" s="1"/>
      <c r="C36" s="1"/>
      <c r="D36" s="1"/>
      <c r="E36" s="1"/>
      <c r="F36" s="1"/>
    </row>
    <row r="37" spans="1:6" ht="25.5" customHeight="1">
      <c r="A37" s="1"/>
      <c r="B37" s="1"/>
      <c r="C37" s="1"/>
      <c r="D37" s="1"/>
      <c r="E37" s="1"/>
      <c r="F37" s="1"/>
    </row>
    <row r="38" spans="1:6" ht="25.5" customHeight="1">
      <c r="A38" s="1"/>
      <c r="B38" s="1"/>
      <c r="C38" s="1"/>
      <c r="D38" s="1"/>
      <c r="E38" s="1"/>
      <c r="F38" s="1"/>
    </row>
    <row r="39" spans="1:6" ht="25.5" customHeight="1">
      <c r="A39" s="1"/>
      <c r="B39" s="1"/>
      <c r="C39" s="1"/>
      <c r="D39" s="1"/>
      <c r="E39" s="1"/>
      <c r="F39" s="1"/>
    </row>
  </sheetData>
  <mergeCells count="2">
    <mergeCell ref="A1:F1"/>
    <mergeCell ref="A2:F2"/>
  </mergeCells>
  <dataValidations count="1">
    <dataValidation type="list" sqref="C5:C104" xr:uid="{00000000-0002-0000-0000-000000000000}">
      <formula1>"Sí,No,Cond."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showGridLines="0" workbookViewId="0">
      <selection sqref="A1:R1"/>
    </sheetView>
  </sheetViews>
  <sheetFormatPr baseColWidth="10" defaultColWidth="9" defaultRowHeight="14.25"/>
  <cols>
    <col min="1" max="1" width="31.625" customWidth="1"/>
    <col min="2" max="4" width="12.125" customWidth="1"/>
    <col min="5" max="5" width="22.75" customWidth="1"/>
    <col min="6" max="6" width="15.25" customWidth="1"/>
    <col min="7" max="7" width="11.125" customWidth="1"/>
    <col min="8" max="8" width="14.125" customWidth="1"/>
    <col min="9" max="9" width="11.125" customWidth="1"/>
    <col min="10" max="10" width="24.875" customWidth="1"/>
    <col min="11" max="11" width="26" customWidth="1"/>
    <col min="12" max="12" width="14.125" customWidth="1"/>
    <col min="13" max="14" width="16.25" customWidth="1"/>
    <col min="15" max="15" width="17.375" customWidth="1"/>
    <col min="16" max="16" width="15.25" customWidth="1"/>
    <col min="17" max="17" width="11.125" customWidth="1"/>
    <col min="18" max="18" width="31.625" customWidth="1"/>
  </cols>
  <sheetData>
    <row r="1" spans="1:18" ht="22.5" customHeight="1">
      <c r="A1" s="7" t="s">
        <v>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5.5" customHeight="1">
      <c r="A2" s="9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31.5" customHeight="1">
      <c r="A4" s="5" t="s">
        <v>9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115</v>
      </c>
      <c r="G4" s="5" t="s">
        <v>116</v>
      </c>
      <c r="H4" s="5" t="s">
        <v>117</v>
      </c>
      <c r="I4" s="5" t="s">
        <v>118</v>
      </c>
      <c r="J4" s="5" t="s">
        <v>119</v>
      </c>
      <c r="K4" s="5" t="s">
        <v>120</v>
      </c>
      <c r="L4" s="5" t="s">
        <v>121</v>
      </c>
      <c r="M4" s="5" t="s">
        <v>122</v>
      </c>
      <c r="N4" s="5" t="s">
        <v>123</v>
      </c>
      <c r="O4" s="5" t="s">
        <v>124</v>
      </c>
      <c r="P4" s="5" t="s">
        <v>125</v>
      </c>
      <c r="Q4" s="5" t="s">
        <v>126</v>
      </c>
      <c r="R4" s="5" t="s">
        <v>127</v>
      </c>
    </row>
    <row r="5" spans="1:18" ht="25.5" customHeight="1">
      <c r="A5" s="4" t="s">
        <v>128</v>
      </c>
      <c r="B5" s="4" t="s">
        <v>129</v>
      </c>
      <c r="C5" s="4" t="s">
        <v>130</v>
      </c>
      <c r="D5" s="4" t="s">
        <v>131</v>
      </c>
      <c r="E5" s="4" t="s">
        <v>132</v>
      </c>
      <c r="F5" s="4" t="s">
        <v>133</v>
      </c>
      <c r="G5" s="4">
        <v>17</v>
      </c>
      <c r="H5" s="4">
        <v>280</v>
      </c>
      <c r="I5" s="4" t="s">
        <v>134</v>
      </c>
      <c r="J5" s="4">
        <v>125</v>
      </c>
      <c r="K5" s="4">
        <v>18</v>
      </c>
      <c r="L5" s="4">
        <v>20</v>
      </c>
      <c r="M5" s="4">
        <v>5</v>
      </c>
      <c r="N5" s="4">
        <v>260</v>
      </c>
      <c r="O5" s="4" t="s">
        <v>135</v>
      </c>
      <c r="P5" s="4" t="s">
        <v>136</v>
      </c>
      <c r="Q5" s="4" t="s">
        <v>10</v>
      </c>
      <c r="R5" s="4" t="s">
        <v>137</v>
      </c>
    </row>
    <row r="6" spans="1:18" ht="25.5" customHeight="1">
      <c r="A6" s="4" t="s">
        <v>138</v>
      </c>
      <c r="B6" s="4" t="s">
        <v>139</v>
      </c>
      <c r="C6" s="4" t="s">
        <v>140</v>
      </c>
      <c r="D6" s="4" t="s">
        <v>141</v>
      </c>
      <c r="E6" s="4" t="s">
        <v>132</v>
      </c>
      <c r="F6" s="4" t="s">
        <v>142</v>
      </c>
      <c r="G6" s="4">
        <v>13</v>
      </c>
      <c r="H6" s="4">
        <v>42</v>
      </c>
      <c r="I6" s="4" t="s">
        <v>143</v>
      </c>
      <c r="J6" s="4">
        <v>160</v>
      </c>
      <c r="K6" s="4">
        <v>20</v>
      </c>
      <c r="L6" s="4">
        <v>15</v>
      </c>
      <c r="M6" s="4">
        <v>0</v>
      </c>
      <c r="N6" s="4">
        <v>40</v>
      </c>
      <c r="O6" s="4" t="s">
        <v>135</v>
      </c>
      <c r="P6" s="4" t="s">
        <v>136</v>
      </c>
      <c r="Q6" s="4" t="s">
        <v>10</v>
      </c>
      <c r="R6" s="4" t="s">
        <v>144</v>
      </c>
    </row>
    <row r="7" spans="1:18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2">
    <mergeCell ref="A1:R1"/>
    <mergeCell ref="A2:R2"/>
  </mergeCells>
  <dataValidations count="5">
    <dataValidation type="list" sqref="D5:D104" xr:uid="{00000000-0002-0000-0100-000000000000}">
      <formula1>"Convencional,Digital,Híbrido"</formula1>
    </dataValidation>
    <dataValidation type="list" sqref="I5:I104" xr:uid="{00000000-0002-0000-0100-000001000000}">
      <formula1>"ft/min,m/min,pl/h,rollos/h"</formula1>
    </dataValidation>
    <dataValidation type="list" sqref="Q5:Q104" xr:uid="{00000000-0002-0000-0100-000002000000}">
      <formula1>"Sí,No"</formula1>
    </dataValidation>
    <dataValidation type="list" sqref="O5:O104" xr:uid="{00000000-0002-0000-0100-000003000000}">
      <formula1>"pies,metros"</formula1>
    </dataValidation>
    <dataValidation type="list" sqref="P5:P104" xr:uid="{00000000-0002-0000-0100-000004000000}">
      <formula1>"trabajo,color,estación,cabezal"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showGridLines="0" workbookViewId="0">
      <selection sqref="A1:R1"/>
    </sheetView>
  </sheetViews>
  <sheetFormatPr baseColWidth="10" defaultColWidth="9" defaultRowHeight="14.25"/>
  <cols>
    <col min="1" max="1" width="31.625" customWidth="1"/>
    <col min="2" max="2" width="11.125" customWidth="1"/>
    <col min="3" max="3" width="12.125" customWidth="1"/>
    <col min="4" max="4" width="15.25" customWidth="1"/>
    <col min="5" max="5" width="19.5" customWidth="1"/>
    <col min="6" max="6" width="22.75" customWidth="1"/>
    <col min="7" max="8" width="24.875" customWidth="1"/>
    <col min="9" max="9" width="16.25" customWidth="1"/>
    <col min="10" max="10" width="14.125" customWidth="1"/>
    <col min="11" max="11" width="11.125" customWidth="1"/>
    <col min="12" max="12" width="24.875" customWidth="1"/>
    <col min="13" max="13" width="26" customWidth="1"/>
    <col min="14" max="14" width="18.5" customWidth="1"/>
    <col min="15" max="16" width="31.625" customWidth="1"/>
    <col min="17" max="17" width="11.125" customWidth="1"/>
    <col min="18" max="18" width="31.625" customWidth="1"/>
  </cols>
  <sheetData>
    <row r="1" spans="1:18" ht="22.5" customHeight="1">
      <c r="A1" s="7" t="s">
        <v>145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5.5" customHeight="1">
      <c r="A2" s="9" t="s">
        <v>146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31.5" customHeight="1">
      <c r="A4" s="5" t="s">
        <v>9</v>
      </c>
      <c r="B4" s="5" t="s">
        <v>147</v>
      </c>
      <c r="C4" s="5" t="s">
        <v>148</v>
      </c>
      <c r="D4" s="5" t="s">
        <v>115</v>
      </c>
      <c r="E4" s="5" t="s">
        <v>149</v>
      </c>
      <c r="F4" s="5" t="s">
        <v>150</v>
      </c>
      <c r="G4" s="5" t="s">
        <v>151</v>
      </c>
      <c r="H4" s="5" t="s">
        <v>152</v>
      </c>
      <c r="I4" s="5" t="s">
        <v>153</v>
      </c>
      <c r="J4" s="5" t="s">
        <v>117</v>
      </c>
      <c r="K4" s="5" t="s">
        <v>118</v>
      </c>
      <c r="L4" s="5" t="s">
        <v>119</v>
      </c>
      <c r="M4" s="5" t="s">
        <v>120</v>
      </c>
      <c r="N4" s="5" t="s">
        <v>116</v>
      </c>
      <c r="O4" s="5" t="s">
        <v>154</v>
      </c>
      <c r="P4" s="5" t="s">
        <v>155</v>
      </c>
      <c r="Q4" s="5" t="s">
        <v>126</v>
      </c>
      <c r="R4" s="5" t="s">
        <v>127</v>
      </c>
    </row>
    <row r="5" spans="1:18" ht="25.5" customHeight="1">
      <c r="A5" s="4" t="s">
        <v>128</v>
      </c>
      <c r="B5" s="4" t="s">
        <v>156</v>
      </c>
      <c r="C5" s="4" t="s">
        <v>132</v>
      </c>
      <c r="D5" s="4" t="s">
        <v>133</v>
      </c>
      <c r="E5" s="4" t="s">
        <v>157</v>
      </c>
      <c r="F5" s="4">
        <v>20</v>
      </c>
      <c r="G5" s="4">
        <v>0</v>
      </c>
      <c r="H5" s="4">
        <v>5</v>
      </c>
      <c r="I5" s="4">
        <v>0</v>
      </c>
      <c r="J5" s="4">
        <v>280</v>
      </c>
      <c r="K5" s="4" t="s">
        <v>134</v>
      </c>
      <c r="L5" s="4">
        <v>125</v>
      </c>
      <c r="M5" s="4">
        <v>18</v>
      </c>
      <c r="N5" s="4">
        <v>17</v>
      </c>
      <c r="O5" s="4" t="s">
        <v>158</v>
      </c>
      <c r="P5" s="4" t="s">
        <v>159</v>
      </c>
      <c r="Q5" s="4" t="s">
        <v>10</v>
      </c>
      <c r="R5" s="4"/>
    </row>
    <row r="6" spans="1:18" ht="25.5" customHeight="1">
      <c r="A6" s="4" t="s">
        <v>160</v>
      </c>
      <c r="B6" s="4" t="s">
        <v>161</v>
      </c>
      <c r="C6" s="4" t="s">
        <v>162</v>
      </c>
      <c r="D6" s="4" t="s">
        <v>163</v>
      </c>
      <c r="E6" s="4" t="s">
        <v>164</v>
      </c>
      <c r="F6" s="4">
        <v>0</v>
      </c>
      <c r="G6" s="4">
        <v>0</v>
      </c>
      <c r="H6" s="4">
        <v>0</v>
      </c>
      <c r="I6" s="4">
        <v>0</v>
      </c>
      <c r="J6" s="4">
        <v>6</v>
      </c>
      <c r="K6" s="4" t="s">
        <v>165</v>
      </c>
      <c r="L6" s="4">
        <v>95</v>
      </c>
      <c r="M6" s="4">
        <v>18</v>
      </c>
      <c r="N6" s="4">
        <v>0</v>
      </c>
      <c r="O6" s="4" t="s">
        <v>166</v>
      </c>
      <c r="P6" s="4" t="s">
        <v>159</v>
      </c>
      <c r="Q6" s="4" t="s">
        <v>10</v>
      </c>
      <c r="R6" s="4" t="s">
        <v>167</v>
      </c>
    </row>
    <row r="7" spans="1:18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2">
    <mergeCell ref="A1:R1"/>
    <mergeCell ref="A2:R2"/>
  </mergeCells>
  <dataValidations count="3">
    <dataValidation type="list" sqref="C5:C104" xr:uid="{00000000-0002-0000-0200-000000000000}">
      <formula1>"impresión,grabado láser,revelado,limpieza,secado/curado,barnizado,laminado,estampado/foil,troquelado,rebobinado,empaque"</formula1>
    </dataValidation>
    <dataValidation type="list" sqref="K5:K104" xr:uid="{00000000-0002-0000-0200-000001000000}">
      <formula1>"ft/min,m/min,pl/h,rollos/h"</formula1>
    </dataValidation>
    <dataValidation type="list" sqref="Q5:Q104" xr:uid="{00000000-0002-0000-0200-000002000000}">
      <formula1>"Sí,No"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4"/>
  <sheetViews>
    <sheetView showGridLines="0" workbookViewId="0">
      <selection sqref="A1:Z1"/>
    </sheetView>
  </sheetViews>
  <sheetFormatPr baseColWidth="10" defaultColWidth="9" defaultRowHeight="14.25"/>
  <cols>
    <col min="1" max="1" width="12.125" customWidth="1"/>
    <col min="2" max="2" width="31.625" customWidth="1"/>
    <col min="3" max="3" width="11.125" customWidth="1"/>
    <col min="4" max="4" width="22.75" customWidth="1"/>
    <col min="5" max="6" width="11.125" customWidth="1"/>
    <col min="7" max="7" width="17.375" customWidth="1"/>
    <col min="8" max="8" width="19.5" customWidth="1"/>
    <col min="9" max="9" width="21.625" customWidth="1"/>
    <col min="10" max="10" width="18.5" customWidth="1"/>
    <col min="11" max="11" width="17.375" customWidth="1"/>
    <col min="12" max="12" width="18.5" customWidth="1"/>
    <col min="13" max="13" width="17.375" customWidth="1"/>
    <col min="14" max="14" width="20.625" customWidth="1"/>
    <col min="15" max="15" width="21.625" customWidth="1"/>
    <col min="16" max="19" width="11.125" customWidth="1"/>
    <col min="20" max="20" width="17.375" customWidth="1"/>
    <col min="21" max="22" width="26" customWidth="1"/>
    <col min="23" max="25" width="11.125" customWidth="1"/>
    <col min="26" max="26" width="31.625" customWidth="1"/>
  </cols>
  <sheetData>
    <row r="1" spans="1:26" ht="22.5" customHeight="1">
      <c r="A1" s="7" t="s">
        <v>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5.5" customHeight="1">
      <c r="A2" s="9" t="s">
        <v>168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1.5" customHeight="1">
      <c r="A4" s="5" t="s">
        <v>169</v>
      </c>
      <c r="B4" s="5" t="s">
        <v>170</v>
      </c>
      <c r="C4" s="5" t="s">
        <v>171</v>
      </c>
      <c r="D4" s="5" t="s">
        <v>172</v>
      </c>
      <c r="E4" s="5" t="s">
        <v>173</v>
      </c>
      <c r="F4" s="5" t="s">
        <v>174</v>
      </c>
      <c r="G4" s="5" t="s">
        <v>175</v>
      </c>
      <c r="H4" s="5" t="s">
        <v>176</v>
      </c>
      <c r="I4" s="5" t="s">
        <v>177</v>
      </c>
      <c r="J4" s="5" t="s">
        <v>178</v>
      </c>
      <c r="K4" s="5" t="s">
        <v>179</v>
      </c>
      <c r="L4" s="5" t="s">
        <v>180</v>
      </c>
      <c r="M4" s="5" t="s">
        <v>181</v>
      </c>
      <c r="N4" s="5" t="s">
        <v>182</v>
      </c>
      <c r="O4" s="5" t="s">
        <v>183</v>
      </c>
      <c r="P4" s="5" t="s">
        <v>184</v>
      </c>
      <c r="Q4" s="5" t="s">
        <v>185</v>
      </c>
      <c r="R4" s="5" t="s">
        <v>186</v>
      </c>
      <c r="S4" s="5" t="s">
        <v>187</v>
      </c>
      <c r="T4" s="5" t="s">
        <v>188</v>
      </c>
      <c r="U4" s="5" t="s">
        <v>189</v>
      </c>
      <c r="V4" s="5" t="s">
        <v>190</v>
      </c>
      <c r="W4" s="5" t="s">
        <v>191</v>
      </c>
      <c r="X4" s="5" t="s">
        <v>192</v>
      </c>
      <c r="Y4" s="5" t="s">
        <v>193</v>
      </c>
      <c r="Z4" s="5" t="s">
        <v>127</v>
      </c>
    </row>
    <row r="5" spans="1:26" ht="25.5" customHeight="1">
      <c r="A5" s="4" t="s">
        <v>194</v>
      </c>
      <c r="B5" s="4" t="s">
        <v>195</v>
      </c>
      <c r="C5" s="4" t="s">
        <v>196</v>
      </c>
      <c r="D5" s="4" t="s">
        <v>197</v>
      </c>
      <c r="E5" s="4">
        <v>330</v>
      </c>
      <c r="F5" s="4"/>
      <c r="G5" s="4"/>
      <c r="H5" s="4">
        <v>60</v>
      </c>
      <c r="I5" s="4"/>
      <c r="J5" s="4">
        <v>0.85</v>
      </c>
      <c r="K5" s="4"/>
      <c r="L5" s="4"/>
      <c r="M5" s="4"/>
      <c r="N5" s="4"/>
      <c r="O5" s="4"/>
      <c r="P5" s="4">
        <v>2</v>
      </c>
      <c r="Q5" s="4" t="s">
        <v>198</v>
      </c>
      <c r="R5" s="4" t="s">
        <v>10</v>
      </c>
      <c r="S5" s="4" t="s">
        <v>199</v>
      </c>
      <c r="T5" s="4">
        <v>0.65</v>
      </c>
      <c r="U5" s="4">
        <v>9.25</v>
      </c>
      <c r="V5" s="4"/>
      <c r="W5" s="4" t="s">
        <v>10</v>
      </c>
      <c r="X5" s="4" t="s">
        <v>10</v>
      </c>
      <c r="Y5" s="4" t="s">
        <v>10</v>
      </c>
      <c r="Z5" s="4" t="s">
        <v>137</v>
      </c>
    </row>
    <row r="6" spans="1:26" ht="25.5" customHeight="1">
      <c r="A6" s="4" t="s">
        <v>200</v>
      </c>
      <c r="B6" s="4" t="s">
        <v>201</v>
      </c>
      <c r="C6" s="4" t="s">
        <v>196</v>
      </c>
      <c r="D6" s="4" t="s">
        <v>202</v>
      </c>
      <c r="E6" s="4">
        <v>330</v>
      </c>
      <c r="F6" s="4"/>
      <c r="G6" s="4">
        <v>80</v>
      </c>
      <c r="H6" s="4"/>
      <c r="I6" s="4"/>
      <c r="J6" s="4">
        <v>0.42</v>
      </c>
      <c r="K6" s="4"/>
      <c r="L6" s="4"/>
      <c r="M6" s="4"/>
      <c r="N6" s="4"/>
      <c r="O6" s="4"/>
      <c r="P6" s="4">
        <v>1.5</v>
      </c>
      <c r="Q6" s="4" t="s">
        <v>203</v>
      </c>
      <c r="R6" s="4" t="s">
        <v>199</v>
      </c>
      <c r="S6" s="4" t="s">
        <v>199</v>
      </c>
      <c r="T6" s="4"/>
      <c r="U6" s="4"/>
      <c r="V6" s="4"/>
      <c r="W6" s="4" t="s">
        <v>10</v>
      </c>
      <c r="X6" s="4" t="s">
        <v>10</v>
      </c>
      <c r="Y6" s="4" t="s">
        <v>10</v>
      </c>
      <c r="Z6" s="4"/>
    </row>
    <row r="7" spans="1:26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">
    <mergeCell ref="A1:Z1"/>
    <mergeCell ref="A2:Z2"/>
  </mergeCells>
  <dataValidations count="3">
    <dataValidation type="list" sqref="C5:C104" xr:uid="{00000000-0002-0000-0300-000000000000}">
      <formula1>"sustrato,tinta,barniz,laminado,foil,plancha,core"</formula1>
    </dataValidation>
    <dataValidation type="list" sqref="Q5:Q104" xr:uid="{00000000-0002-0000-0300-000001000000}">
      <formula1>"poroso,no_poroso"</formula1>
    </dataValidation>
    <dataValidation type="list" sqref="W5:Y104 R5:S104" xr:uid="{00000000-0002-0000-0300-000002000000}">
      <formula1>"Sí,No"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4"/>
  <sheetViews>
    <sheetView showGridLines="0" workbookViewId="0">
      <selection sqref="A1:AH1"/>
    </sheetView>
  </sheetViews>
  <sheetFormatPr baseColWidth="10" defaultColWidth="9" defaultRowHeight="14.25"/>
  <cols>
    <col min="1" max="1" width="12.125" customWidth="1"/>
    <col min="2" max="2" width="31.625" customWidth="1"/>
    <col min="3" max="3" width="18.5" customWidth="1"/>
    <col min="4" max="4" width="19.5" customWidth="1"/>
    <col min="5" max="6" width="21.625" customWidth="1"/>
    <col min="7" max="8" width="11.125" customWidth="1"/>
    <col min="9" max="10" width="18.5" customWidth="1"/>
    <col min="11" max="11" width="11.125" customWidth="1"/>
    <col min="12" max="12" width="13" customWidth="1"/>
    <col min="13" max="14" width="28.125" customWidth="1"/>
    <col min="15" max="18" width="22.75" customWidth="1"/>
    <col min="19" max="19" width="21.625" customWidth="1"/>
    <col min="20" max="20" width="15.25" customWidth="1"/>
    <col min="21" max="21" width="12.125" customWidth="1"/>
    <col min="22" max="22" width="11.125" customWidth="1"/>
    <col min="23" max="23" width="12.125" customWidth="1"/>
    <col min="24" max="24" width="14.125" customWidth="1"/>
    <col min="25" max="25" width="12.125" customWidth="1"/>
    <col min="26" max="26" width="17.375" customWidth="1"/>
    <col min="27" max="33" width="11.125" customWidth="1"/>
    <col min="34" max="34" width="31.625" customWidth="1"/>
  </cols>
  <sheetData>
    <row r="1" spans="1:34" ht="22.5" customHeight="1">
      <c r="A1" s="7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25.5" customHeight="1">
      <c r="A2" s="9" t="s">
        <v>204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31.5" customHeight="1">
      <c r="A4" s="5" t="s">
        <v>169</v>
      </c>
      <c r="B4" s="5" t="s">
        <v>205</v>
      </c>
      <c r="C4" s="5" t="s">
        <v>147</v>
      </c>
      <c r="D4" s="5" t="s">
        <v>206</v>
      </c>
      <c r="E4" s="5" t="s">
        <v>207</v>
      </c>
      <c r="F4" s="5" t="s">
        <v>208</v>
      </c>
      <c r="G4" s="5" t="s">
        <v>173</v>
      </c>
      <c r="H4" s="5" t="s">
        <v>174</v>
      </c>
      <c r="I4" s="5" t="s">
        <v>209</v>
      </c>
      <c r="J4" s="5" t="s">
        <v>210</v>
      </c>
      <c r="K4" s="5" t="s">
        <v>211</v>
      </c>
      <c r="L4" s="5" t="s">
        <v>212</v>
      </c>
      <c r="M4" s="5" t="s">
        <v>213</v>
      </c>
      <c r="N4" s="5" t="s">
        <v>214</v>
      </c>
      <c r="O4" s="5" t="s">
        <v>215</v>
      </c>
      <c r="P4" s="5" t="s">
        <v>216</v>
      </c>
      <c r="Q4" s="5" t="s">
        <v>217</v>
      </c>
      <c r="R4" s="5" t="s">
        <v>218</v>
      </c>
      <c r="S4" s="5" t="s">
        <v>219</v>
      </c>
      <c r="T4" s="5" t="s">
        <v>220</v>
      </c>
      <c r="U4" s="5" t="s">
        <v>221</v>
      </c>
      <c r="V4" s="5" t="s">
        <v>222</v>
      </c>
      <c r="W4" s="5" t="s">
        <v>223</v>
      </c>
      <c r="X4" s="5" t="s">
        <v>224</v>
      </c>
      <c r="Y4" s="5" t="s">
        <v>225</v>
      </c>
      <c r="Z4" s="5" t="s">
        <v>226</v>
      </c>
      <c r="AA4" s="5" t="s">
        <v>227</v>
      </c>
      <c r="AB4" s="5" t="s">
        <v>228</v>
      </c>
      <c r="AC4" s="5" t="s">
        <v>229</v>
      </c>
      <c r="AD4" s="5" t="s">
        <v>230</v>
      </c>
      <c r="AE4" s="5" t="s">
        <v>231</v>
      </c>
      <c r="AF4" s="5" t="s">
        <v>232</v>
      </c>
      <c r="AG4" s="5" t="s">
        <v>193</v>
      </c>
      <c r="AH4" s="5" t="s">
        <v>233</v>
      </c>
    </row>
    <row r="5" spans="1:34" ht="25.5" customHeight="1">
      <c r="A5" s="4" t="s">
        <v>234</v>
      </c>
      <c r="B5" s="4" t="s">
        <v>235</v>
      </c>
      <c r="C5" s="4" t="s">
        <v>236</v>
      </c>
      <c r="D5" s="4" t="s">
        <v>237</v>
      </c>
      <c r="E5" s="4" t="s">
        <v>238</v>
      </c>
      <c r="F5" s="4" t="s">
        <v>239</v>
      </c>
      <c r="G5" s="4">
        <v>50</v>
      </c>
      <c r="H5" s="4">
        <v>80</v>
      </c>
      <c r="I5" s="4">
        <v>24</v>
      </c>
      <c r="J5" s="4">
        <v>9.4488000000000003</v>
      </c>
      <c r="K5" s="4">
        <v>1.5</v>
      </c>
      <c r="L5" s="4"/>
      <c r="M5" s="4">
        <v>12.5</v>
      </c>
      <c r="N5" s="4">
        <v>9.4499999999999993</v>
      </c>
      <c r="O5" s="4">
        <v>1.97</v>
      </c>
      <c r="P5" s="4">
        <v>3.15</v>
      </c>
      <c r="Q5" s="4">
        <v>13</v>
      </c>
      <c r="R5" s="4">
        <v>6.2</v>
      </c>
      <c r="S5" s="4">
        <v>118.1</v>
      </c>
      <c r="T5" s="4" t="s">
        <v>240</v>
      </c>
      <c r="U5" s="4" t="s">
        <v>241</v>
      </c>
      <c r="V5" s="4">
        <v>0.125</v>
      </c>
      <c r="W5" s="4" t="s">
        <v>242</v>
      </c>
      <c r="X5" s="4" t="s">
        <v>243</v>
      </c>
      <c r="Y5" s="4" t="s">
        <v>244</v>
      </c>
      <c r="Z5" s="4" t="s">
        <v>245</v>
      </c>
      <c r="AA5" s="4" t="s">
        <v>10</v>
      </c>
      <c r="AB5" s="4" t="s">
        <v>10</v>
      </c>
      <c r="AC5" s="4">
        <v>2</v>
      </c>
      <c r="AD5" s="4">
        <v>96</v>
      </c>
      <c r="AE5" s="4">
        <v>3</v>
      </c>
      <c r="AF5" s="4" t="s">
        <v>246</v>
      </c>
      <c r="AG5" s="4" t="s">
        <v>10</v>
      </c>
      <c r="AH5" s="4"/>
    </row>
    <row r="6" spans="1:34" ht="25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</sheetData>
  <mergeCells count="2">
    <mergeCell ref="A1:AH1"/>
    <mergeCell ref="A2:AH2"/>
  </mergeCells>
  <dataValidations count="2">
    <dataValidation type="list" sqref="AG5:AG104 AA5:AB104" xr:uid="{00000000-0002-0000-0400-000000000000}">
      <formula1>"Sí,No"</formula1>
    </dataValidation>
    <dataValidation type="list" sqref="AF5:AF104" xr:uid="{00000000-0002-0000-0400-000002000000}">
      <formula1>"Bueno,Regular,Reparar,Retirado"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4"/>
  <sheetViews>
    <sheetView showGridLines="0" workbookViewId="0">
      <selection sqref="A1:W1"/>
    </sheetView>
  </sheetViews>
  <sheetFormatPr baseColWidth="10" defaultColWidth="9" defaultRowHeight="14.25"/>
  <cols>
    <col min="1" max="1" width="12.125" customWidth="1"/>
    <col min="2" max="2" width="31.625" customWidth="1"/>
    <col min="3" max="3" width="11.125" customWidth="1"/>
    <col min="4" max="4" width="15.25" customWidth="1"/>
    <col min="5" max="5" width="11.125" customWidth="1"/>
    <col min="6" max="6" width="20.625" customWidth="1"/>
    <col min="7" max="7" width="17.375" customWidth="1"/>
    <col min="8" max="9" width="11.125" customWidth="1"/>
    <col min="10" max="10" width="23.875" customWidth="1"/>
    <col min="11" max="11" width="13" customWidth="1"/>
    <col min="12" max="12" width="11.125" customWidth="1"/>
    <col min="13" max="14" width="26" customWidth="1"/>
    <col min="15" max="16" width="11.125" customWidth="1"/>
    <col min="17" max="17" width="20.625" customWidth="1"/>
    <col min="18" max="18" width="11.125" customWidth="1"/>
    <col min="19" max="19" width="31.375" customWidth="1"/>
    <col min="20" max="22" width="11.125" customWidth="1"/>
    <col min="23" max="23" width="31.625" customWidth="1"/>
  </cols>
  <sheetData>
    <row r="1" spans="1:23" ht="22.5" customHeight="1">
      <c r="A1" s="7" t="s">
        <v>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25.5" customHeight="1">
      <c r="A2" s="9" t="s">
        <v>247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1.5" customHeight="1">
      <c r="A4" s="5" t="s">
        <v>169</v>
      </c>
      <c r="B4" s="5" t="s">
        <v>248</v>
      </c>
      <c r="C4" s="5" t="s">
        <v>171</v>
      </c>
      <c r="D4" s="5" t="s">
        <v>249</v>
      </c>
      <c r="E4" s="5" t="s">
        <v>250</v>
      </c>
      <c r="F4" s="5" t="s">
        <v>182</v>
      </c>
      <c r="G4" s="5" t="s">
        <v>181</v>
      </c>
      <c r="H4" s="5" t="s">
        <v>251</v>
      </c>
      <c r="I4" s="5" t="s">
        <v>252</v>
      </c>
      <c r="J4" s="5" t="s">
        <v>253</v>
      </c>
      <c r="K4" s="5" t="s">
        <v>254</v>
      </c>
      <c r="L4" s="5" t="s">
        <v>255</v>
      </c>
      <c r="M4" s="5" t="s">
        <v>256</v>
      </c>
      <c r="N4" s="5" t="s">
        <v>257</v>
      </c>
      <c r="O4" s="5" t="s">
        <v>258</v>
      </c>
      <c r="P4" s="5" t="s">
        <v>259</v>
      </c>
      <c r="Q4" s="5" t="s">
        <v>260</v>
      </c>
      <c r="R4" s="5" t="s">
        <v>261</v>
      </c>
      <c r="S4" s="5" t="s">
        <v>262</v>
      </c>
      <c r="T4" s="5" t="s">
        <v>191</v>
      </c>
      <c r="U4" s="5" t="s">
        <v>192</v>
      </c>
      <c r="V4" s="5" t="s">
        <v>193</v>
      </c>
      <c r="W4" s="5" t="s">
        <v>127</v>
      </c>
    </row>
    <row r="5" spans="1:23" ht="25.5" customHeight="1">
      <c r="A5" s="4" t="s">
        <v>263</v>
      </c>
      <c r="B5" s="4" t="s">
        <v>264</v>
      </c>
      <c r="C5" s="4" t="s">
        <v>265</v>
      </c>
      <c r="D5" s="4" t="s">
        <v>266</v>
      </c>
      <c r="E5" s="4" t="s">
        <v>267</v>
      </c>
      <c r="F5" s="4">
        <v>25</v>
      </c>
      <c r="G5" s="4"/>
      <c r="H5" s="4">
        <v>2</v>
      </c>
      <c r="I5" s="4">
        <v>25</v>
      </c>
      <c r="J5" s="4">
        <v>60</v>
      </c>
      <c r="K5" s="4">
        <v>1.5</v>
      </c>
      <c r="L5" s="4">
        <v>1</v>
      </c>
      <c r="M5" s="4">
        <v>0.3</v>
      </c>
      <c r="N5" s="4">
        <v>1.5</v>
      </c>
      <c r="O5" s="4">
        <v>1.1000000000000001</v>
      </c>
      <c r="P5" s="4" t="s">
        <v>268</v>
      </c>
      <c r="Q5" s="4"/>
      <c r="R5" s="4" t="s">
        <v>269</v>
      </c>
      <c r="S5" s="4">
        <v>18</v>
      </c>
      <c r="T5" s="4" t="s">
        <v>10</v>
      </c>
      <c r="U5" s="4" t="s">
        <v>10</v>
      </c>
      <c r="V5" s="4" t="s">
        <v>10</v>
      </c>
      <c r="W5" s="4" t="s">
        <v>270</v>
      </c>
    </row>
    <row r="6" spans="1:23" ht="25.5" customHeight="1">
      <c r="A6" s="4" t="s">
        <v>271</v>
      </c>
      <c r="B6" s="4" t="s">
        <v>272</v>
      </c>
      <c r="C6" s="4" t="s">
        <v>265</v>
      </c>
      <c r="D6" s="4" t="s">
        <v>273</v>
      </c>
      <c r="E6" s="4" t="s">
        <v>267</v>
      </c>
      <c r="F6" s="4">
        <v>30</v>
      </c>
      <c r="G6" s="4"/>
      <c r="H6" s="4">
        <v>7</v>
      </c>
      <c r="I6" s="4">
        <v>100</v>
      </c>
      <c r="J6" s="4">
        <v>100</v>
      </c>
      <c r="K6" s="4">
        <v>1.5</v>
      </c>
      <c r="L6" s="4">
        <v>2.5</v>
      </c>
      <c r="M6" s="4">
        <v>0.3</v>
      </c>
      <c r="N6" s="4">
        <v>4</v>
      </c>
      <c r="O6" s="4">
        <v>1.1000000000000001</v>
      </c>
      <c r="P6" s="4" t="s">
        <v>268</v>
      </c>
      <c r="Q6" s="4"/>
      <c r="R6" s="4" t="s">
        <v>269</v>
      </c>
      <c r="S6" s="4">
        <v>18</v>
      </c>
      <c r="T6" s="4" t="s">
        <v>10</v>
      </c>
      <c r="U6" s="4" t="s">
        <v>10</v>
      </c>
      <c r="V6" s="4" t="s">
        <v>10</v>
      </c>
      <c r="W6" s="4"/>
    </row>
    <row r="7" spans="1:23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</sheetData>
  <mergeCells count="2">
    <mergeCell ref="A1:W1"/>
    <mergeCell ref="A2:W2"/>
  </mergeCells>
  <dataValidations count="5">
    <dataValidation type="list" sqref="C5:C104" xr:uid="{00000000-0002-0000-0500-000000000000}">
      <formula1>"sustrato,tinta,barniz,laminado,foil,plancha,core"</formula1>
    </dataValidation>
    <dataValidation type="list" sqref="D5:D104" xr:uid="{00000000-0002-0000-0500-000001000000}">
      <formula1>"CMYK,Blanco,Pantone,Especial,Barniz UV"</formula1>
    </dataValidation>
    <dataValidation type="list" sqref="P5:P104" xr:uid="{00000000-0002-0000-0500-000002000000}">
      <formula1>"consumo,clic"</formula1>
    </dataValidation>
    <dataValidation type="list" sqref="R5:R104" xr:uid="{00000000-0002-0000-0500-000003000000}">
      <formula1>"por_estacion,por_vuelta"</formula1>
    </dataValidation>
    <dataValidation type="list" sqref="T5:V104" xr:uid="{00000000-0002-0000-0500-000004000000}">
      <formula1>"Sí,No"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4"/>
  <sheetViews>
    <sheetView showGridLines="0" workbookViewId="0">
      <selection sqref="A1:T1"/>
    </sheetView>
  </sheetViews>
  <sheetFormatPr baseColWidth="10" defaultColWidth="9" defaultRowHeight="14.25"/>
  <cols>
    <col min="1" max="1" width="12.125" customWidth="1"/>
    <col min="2" max="2" width="31.625" customWidth="1"/>
    <col min="3" max="3" width="11.125" customWidth="1"/>
    <col min="4" max="4" width="16.25" customWidth="1"/>
    <col min="5" max="5" width="12.125" customWidth="1"/>
    <col min="6" max="6" width="11.125" customWidth="1"/>
    <col min="7" max="7" width="20.625" customWidth="1"/>
    <col min="8" max="9" width="17.375" customWidth="1"/>
    <col min="10" max="10" width="18.5" customWidth="1"/>
    <col min="11" max="11" width="22.75" customWidth="1"/>
    <col min="12" max="12" width="19.5" customWidth="1"/>
    <col min="13" max="14" width="11.125" customWidth="1"/>
    <col min="15" max="15" width="13" customWidth="1"/>
    <col min="16" max="19" width="11.125" customWidth="1"/>
    <col min="20" max="20" width="31.625" customWidth="1"/>
  </cols>
  <sheetData>
    <row r="1" spans="1:20" ht="22.5" customHeight="1">
      <c r="A1" s="7" t="s">
        <v>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5.5" customHeight="1">
      <c r="A2" s="9" t="s">
        <v>274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31.5" customHeight="1">
      <c r="A4" s="5" t="s">
        <v>169</v>
      </c>
      <c r="B4" s="5" t="s">
        <v>170</v>
      </c>
      <c r="C4" s="5" t="s">
        <v>171</v>
      </c>
      <c r="D4" s="5" t="s">
        <v>275</v>
      </c>
      <c r="E4" s="5" t="s">
        <v>250</v>
      </c>
      <c r="F4" s="5" t="s">
        <v>173</v>
      </c>
      <c r="G4" s="5" t="s">
        <v>182</v>
      </c>
      <c r="H4" s="5" t="s">
        <v>181</v>
      </c>
      <c r="I4" s="5" t="s">
        <v>179</v>
      </c>
      <c r="J4" s="5" t="s">
        <v>180</v>
      </c>
      <c r="K4" s="5" t="s">
        <v>276</v>
      </c>
      <c r="L4" s="5" t="s">
        <v>277</v>
      </c>
      <c r="M4" s="5" t="s">
        <v>251</v>
      </c>
      <c r="N4" s="5" t="s">
        <v>252</v>
      </c>
      <c r="O4" s="5" t="s">
        <v>254</v>
      </c>
      <c r="P4" s="5" t="s">
        <v>184</v>
      </c>
      <c r="Q4" s="5" t="s">
        <v>278</v>
      </c>
      <c r="R4" s="5" t="s">
        <v>279</v>
      </c>
      <c r="S4" s="5" t="s">
        <v>193</v>
      </c>
      <c r="T4" s="5" t="s">
        <v>127</v>
      </c>
    </row>
    <row r="5" spans="1:20" ht="25.5" customHeight="1">
      <c r="A5" s="4" t="s">
        <v>280</v>
      </c>
      <c r="B5" s="4" t="s">
        <v>281</v>
      </c>
      <c r="C5" s="4" t="s">
        <v>282</v>
      </c>
      <c r="D5" s="4" t="s">
        <v>283</v>
      </c>
      <c r="E5" s="4" t="s">
        <v>267</v>
      </c>
      <c r="F5" s="4"/>
      <c r="G5" s="4">
        <v>28</v>
      </c>
      <c r="H5" s="4"/>
      <c r="I5" s="4"/>
      <c r="J5" s="4"/>
      <c r="K5" s="4">
        <v>3</v>
      </c>
      <c r="L5" s="4">
        <v>3</v>
      </c>
      <c r="M5" s="4">
        <v>7</v>
      </c>
      <c r="N5" s="4">
        <v>100</v>
      </c>
      <c r="O5" s="4">
        <v>1.5</v>
      </c>
      <c r="P5" s="4">
        <v>1.5</v>
      </c>
      <c r="Q5" s="4" t="s">
        <v>10</v>
      </c>
      <c r="R5" s="4" t="s">
        <v>10</v>
      </c>
      <c r="S5" s="4" t="s">
        <v>10</v>
      </c>
      <c r="T5" s="4" t="s">
        <v>284</v>
      </c>
    </row>
    <row r="6" spans="1:20" ht="25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</sheetData>
  <mergeCells count="2">
    <mergeCell ref="A1:T1"/>
    <mergeCell ref="A2:T2"/>
  </mergeCells>
  <dataValidations count="2">
    <dataValidation type="list" sqref="C5:C104" xr:uid="{00000000-0002-0000-0600-000000000000}">
      <formula1>"sustrato,tinta,barniz,laminado,foil,plancha,core"</formula1>
    </dataValidation>
    <dataValidation type="list" sqref="Q5:S104" xr:uid="{00000000-0002-0000-0600-000001000000}">
      <formula1>"Sí,No"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4"/>
  <sheetViews>
    <sheetView showGridLines="0" workbookViewId="0">
      <selection sqref="A1:T1"/>
    </sheetView>
  </sheetViews>
  <sheetFormatPr baseColWidth="10" defaultColWidth="9" defaultRowHeight="14.25"/>
  <cols>
    <col min="1" max="1" width="12.125" customWidth="1"/>
    <col min="2" max="2" width="31.625" customWidth="1"/>
    <col min="3" max="3" width="11.125" customWidth="1"/>
    <col min="4" max="4" width="18.5" customWidth="1"/>
    <col min="5" max="5" width="12.125" customWidth="1"/>
    <col min="6" max="7" width="11.125" customWidth="1"/>
    <col min="8" max="8" width="17.375" customWidth="1"/>
    <col min="9" max="9" width="18.5" customWidth="1"/>
    <col min="10" max="10" width="17.375" customWidth="1"/>
    <col min="11" max="11" width="18.5" customWidth="1"/>
    <col min="12" max="12" width="17.375" customWidth="1"/>
    <col min="13" max="13" width="21.625" customWidth="1"/>
    <col min="14" max="14" width="22.75" customWidth="1"/>
    <col min="15" max="15" width="11.125" customWidth="1"/>
    <col min="16" max="16" width="14.125" customWidth="1"/>
    <col min="17" max="19" width="11.125" customWidth="1"/>
    <col min="20" max="20" width="31.625" customWidth="1"/>
  </cols>
  <sheetData>
    <row r="1" spans="1:20" ht="22.5" customHeight="1">
      <c r="A1" s="7" t="s">
        <v>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5.5" customHeight="1">
      <c r="A2" s="9" t="s">
        <v>285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31.5" customHeight="1">
      <c r="A4" s="5" t="s">
        <v>169</v>
      </c>
      <c r="B4" s="5" t="s">
        <v>170</v>
      </c>
      <c r="C4" s="5" t="s">
        <v>171</v>
      </c>
      <c r="D4" s="5" t="s">
        <v>286</v>
      </c>
      <c r="E4" s="5" t="s">
        <v>287</v>
      </c>
      <c r="F4" s="5" t="s">
        <v>173</v>
      </c>
      <c r="G4" s="5" t="s">
        <v>176</v>
      </c>
      <c r="H4" s="5" t="s">
        <v>175</v>
      </c>
      <c r="I4" s="5" t="s">
        <v>178</v>
      </c>
      <c r="J4" s="5" t="s">
        <v>179</v>
      </c>
      <c r="K4" s="5" t="s">
        <v>180</v>
      </c>
      <c r="L4" s="5" t="s">
        <v>181</v>
      </c>
      <c r="M4" s="5" t="s">
        <v>183</v>
      </c>
      <c r="N4" s="5" t="s">
        <v>276</v>
      </c>
      <c r="O4" s="5" t="s">
        <v>184</v>
      </c>
      <c r="P4" s="5" t="s">
        <v>224</v>
      </c>
      <c r="Q4" s="5" t="s">
        <v>278</v>
      </c>
      <c r="R4" s="5" t="s">
        <v>279</v>
      </c>
      <c r="S4" s="5" t="s">
        <v>193</v>
      </c>
      <c r="T4" s="5" t="s">
        <v>127</v>
      </c>
    </row>
    <row r="5" spans="1:20" ht="25.5" customHeight="1">
      <c r="A5" s="4" t="s">
        <v>288</v>
      </c>
      <c r="B5" s="4" t="s">
        <v>289</v>
      </c>
      <c r="C5" s="4" t="s">
        <v>290</v>
      </c>
      <c r="D5" s="4" t="s">
        <v>291</v>
      </c>
      <c r="E5" s="4" t="s">
        <v>292</v>
      </c>
      <c r="F5" s="4">
        <v>330</v>
      </c>
      <c r="G5" s="4">
        <v>30</v>
      </c>
      <c r="H5" s="4"/>
      <c r="I5" s="4"/>
      <c r="J5" s="4"/>
      <c r="K5" s="4">
        <v>4.4999999999999998E-2</v>
      </c>
      <c r="L5" s="4"/>
      <c r="M5" s="4"/>
      <c r="N5" s="4"/>
      <c r="O5" s="4">
        <v>2</v>
      </c>
      <c r="P5" s="4" t="s">
        <v>243</v>
      </c>
      <c r="Q5" s="4" t="s">
        <v>10</v>
      </c>
      <c r="R5" s="4" t="s">
        <v>10</v>
      </c>
      <c r="S5" s="4" t="s">
        <v>10</v>
      </c>
      <c r="T5" s="4" t="s">
        <v>137</v>
      </c>
    </row>
    <row r="6" spans="1:20" ht="25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</sheetData>
  <mergeCells count="2">
    <mergeCell ref="A1:T1"/>
    <mergeCell ref="A2:T2"/>
  </mergeCells>
  <dataValidations count="2">
    <dataValidation type="list" sqref="C5:C104" xr:uid="{00000000-0002-0000-0700-000000000000}">
      <formula1>"sustrato,tinta,barniz,laminado,foil,plancha,core"</formula1>
    </dataValidation>
    <dataValidation type="list" sqref="Q5:S104" xr:uid="{00000000-0002-0000-0700-000001000000}">
      <formula1>"Sí,No"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4"/>
  <sheetViews>
    <sheetView showGridLines="0" workbookViewId="0">
      <selection sqref="A1:R1"/>
    </sheetView>
  </sheetViews>
  <sheetFormatPr baseColWidth="10" defaultColWidth="9" defaultRowHeight="14.25"/>
  <cols>
    <col min="1" max="1" width="12.125" customWidth="1"/>
    <col min="2" max="2" width="31.625" customWidth="1"/>
    <col min="3" max="3" width="11.125" customWidth="1"/>
    <col min="4" max="4" width="20.625" customWidth="1"/>
    <col min="5" max="6" width="11.125" customWidth="1"/>
    <col min="7" max="7" width="18.5" customWidth="1"/>
    <col min="8" max="8" width="17.375" customWidth="1"/>
    <col min="9" max="9" width="18.5" customWidth="1"/>
    <col min="10" max="10" width="21.625" customWidth="1"/>
    <col min="11" max="11" width="11.125" customWidth="1"/>
    <col min="12" max="12" width="23.875" customWidth="1"/>
    <col min="13" max="13" width="11.125" customWidth="1"/>
    <col min="14" max="14" width="14.125" customWidth="1"/>
    <col min="15" max="17" width="11.125" customWidth="1"/>
    <col min="18" max="18" width="31.625" customWidth="1"/>
  </cols>
  <sheetData>
    <row r="1" spans="1:18" ht="22.5" customHeight="1">
      <c r="A1" s="7" t="s">
        <v>293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5.5" customHeight="1">
      <c r="A2" s="9" t="s">
        <v>294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31.5" customHeight="1">
      <c r="A4" s="5" t="s">
        <v>169</v>
      </c>
      <c r="B4" s="5" t="s">
        <v>170</v>
      </c>
      <c r="C4" s="5" t="s">
        <v>171</v>
      </c>
      <c r="D4" s="5" t="s">
        <v>295</v>
      </c>
      <c r="E4" s="5" t="s">
        <v>173</v>
      </c>
      <c r="F4" s="5" t="s">
        <v>296</v>
      </c>
      <c r="G4" s="5" t="s">
        <v>297</v>
      </c>
      <c r="H4" s="5" t="s">
        <v>179</v>
      </c>
      <c r="I4" s="5" t="s">
        <v>180</v>
      </c>
      <c r="J4" s="5" t="s">
        <v>183</v>
      </c>
      <c r="K4" s="5" t="s">
        <v>298</v>
      </c>
      <c r="L4" s="5" t="s">
        <v>299</v>
      </c>
      <c r="M4" s="5" t="s">
        <v>184</v>
      </c>
      <c r="N4" s="5" t="s">
        <v>224</v>
      </c>
      <c r="O4" s="5" t="s">
        <v>278</v>
      </c>
      <c r="P4" s="5" t="s">
        <v>279</v>
      </c>
      <c r="Q4" s="5" t="s">
        <v>193</v>
      </c>
      <c r="R4" s="5" t="s">
        <v>127</v>
      </c>
    </row>
    <row r="5" spans="1:18" ht="25.5" customHeight="1">
      <c r="A5" s="4" t="s">
        <v>300</v>
      </c>
      <c r="B5" s="4" t="s">
        <v>301</v>
      </c>
      <c r="C5" s="4" t="s">
        <v>302</v>
      </c>
      <c r="D5" s="4" t="s">
        <v>303</v>
      </c>
      <c r="E5" s="4">
        <v>105</v>
      </c>
      <c r="F5" s="4">
        <v>1200</v>
      </c>
      <c r="G5" s="4"/>
      <c r="H5" s="4"/>
      <c r="I5" s="4">
        <v>0.12</v>
      </c>
      <c r="J5" s="4"/>
      <c r="K5" s="4">
        <v>110</v>
      </c>
      <c r="L5" s="4" t="s">
        <v>304</v>
      </c>
      <c r="M5" s="4">
        <v>4</v>
      </c>
      <c r="N5" s="4" t="s">
        <v>243</v>
      </c>
      <c r="O5" s="4" t="s">
        <v>10</v>
      </c>
      <c r="P5" s="4" t="s">
        <v>10</v>
      </c>
      <c r="Q5" s="4" t="s">
        <v>10</v>
      </c>
      <c r="R5" s="4" t="s">
        <v>137</v>
      </c>
    </row>
    <row r="6" spans="1:18" ht="25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2">
    <mergeCell ref="A1:R1"/>
    <mergeCell ref="A2:R2"/>
  </mergeCells>
  <dataValidations count="2">
    <dataValidation type="list" sqref="C5:C104" xr:uid="{00000000-0002-0000-0800-000000000000}">
      <formula1>"sustrato,tinta,barniz,laminado,foil,plancha,core"</formula1>
    </dataValidation>
    <dataValidation type="list" sqref="O5:Q104" xr:uid="{00000000-0002-0000-0800-000001000000}">
      <formula1>"Sí,No"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4"/>
  <sheetViews>
    <sheetView showGridLines="0" workbookViewId="0">
      <selection sqref="A1:R1"/>
    </sheetView>
  </sheetViews>
  <sheetFormatPr baseColWidth="10" defaultColWidth="9" defaultRowHeight="14.25"/>
  <cols>
    <col min="1" max="1" width="12.125" customWidth="1"/>
    <col min="2" max="2" width="31.625" customWidth="1"/>
    <col min="3" max="3" width="11.125" customWidth="1"/>
    <col min="4" max="4" width="17.375" customWidth="1"/>
    <col min="5" max="7" width="11.125" customWidth="1"/>
    <col min="8" max="8" width="21.625" customWidth="1"/>
    <col min="9" max="9" width="18.5" customWidth="1"/>
    <col min="10" max="10" width="17.375" customWidth="1"/>
    <col min="11" max="11" width="14.125" customWidth="1"/>
    <col min="12" max="12" width="23.875" customWidth="1"/>
    <col min="13" max="13" width="11.125" customWidth="1"/>
    <col min="14" max="14" width="24.875" customWidth="1"/>
    <col min="15" max="15" width="26" customWidth="1"/>
    <col min="16" max="17" width="11.125" customWidth="1"/>
    <col min="18" max="18" width="31.625" customWidth="1"/>
  </cols>
  <sheetData>
    <row r="1" spans="1:18" ht="22.5" customHeight="1">
      <c r="A1" s="7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5.5" customHeight="1">
      <c r="A2" s="9" t="s">
        <v>305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31.5" customHeight="1">
      <c r="A4" s="5" t="s">
        <v>169</v>
      </c>
      <c r="B4" s="5" t="s">
        <v>170</v>
      </c>
      <c r="C4" s="5" t="s">
        <v>171</v>
      </c>
      <c r="D4" s="5" t="s">
        <v>306</v>
      </c>
      <c r="E4" s="5" t="s">
        <v>173</v>
      </c>
      <c r="F4" s="5" t="s">
        <v>174</v>
      </c>
      <c r="G4" s="5" t="s">
        <v>307</v>
      </c>
      <c r="H4" s="5" t="s">
        <v>177</v>
      </c>
      <c r="I4" s="5" t="s">
        <v>308</v>
      </c>
      <c r="J4" s="5" t="s">
        <v>179</v>
      </c>
      <c r="K4" s="5" t="s">
        <v>224</v>
      </c>
      <c r="L4" s="5" t="s">
        <v>309</v>
      </c>
      <c r="M4" s="5" t="s">
        <v>310</v>
      </c>
      <c r="N4" s="5" t="s">
        <v>119</v>
      </c>
      <c r="O4" s="5" t="s">
        <v>120</v>
      </c>
      <c r="P4" s="5" t="s">
        <v>311</v>
      </c>
      <c r="Q4" s="5" t="s">
        <v>193</v>
      </c>
      <c r="R4" s="5" t="s">
        <v>127</v>
      </c>
    </row>
    <row r="5" spans="1:18" ht="25.5" customHeight="1">
      <c r="A5" s="4" t="s">
        <v>312</v>
      </c>
      <c r="B5" s="4" t="s">
        <v>313</v>
      </c>
      <c r="C5" s="4" t="s">
        <v>314</v>
      </c>
      <c r="D5" s="4" t="s">
        <v>315</v>
      </c>
      <c r="E5" s="4">
        <v>762</v>
      </c>
      <c r="F5" s="4">
        <v>1016</v>
      </c>
      <c r="G5" s="4">
        <v>1.1399999999999999</v>
      </c>
      <c r="H5" s="4">
        <v>95</v>
      </c>
      <c r="I5" s="4"/>
      <c r="J5" s="4"/>
      <c r="K5" s="4" t="s">
        <v>243</v>
      </c>
      <c r="L5" s="4" t="s">
        <v>160</v>
      </c>
      <c r="M5" s="4">
        <v>6</v>
      </c>
      <c r="N5" s="4">
        <v>95</v>
      </c>
      <c r="O5" s="4">
        <v>18</v>
      </c>
      <c r="P5" s="4">
        <v>0.25</v>
      </c>
      <c r="Q5" s="4" t="s">
        <v>10</v>
      </c>
      <c r="R5" s="4" t="s">
        <v>316</v>
      </c>
    </row>
    <row r="6" spans="1:18" ht="25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5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5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5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</sheetData>
  <mergeCells count="2">
    <mergeCell ref="A1:R1"/>
    <mergeCell ref="A2:R2"/>
  </mergeCells>
  <dataValidations count="2">
    <dataValidation type="list" sqref="C5:C104" xr:uid="{00000000-0002-0000-0900-000000000000}">
      <formula1>"sustrato,tinta,barniz,laminado,foil,plancha,core"</formula1>
    </dataValidation>
    <dataValidation type="list" sqref="Q5:Q104" xr:uid="{00000000-0002-0000-0900-000001000000}">
      <formula1>"Sí,No"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4"/>
  <sheetViews>
    <sheetView showGridLines="0" workbookViewId="0">
      <selection sqref="A1:P1"/>
    </sheetView>
  </sheetViews>
  <sheetFormatPr baseColWidth="10" defaultColWidth="9" defaultRowHeight="14.25"/>
  <cols>
    <col min="1" max="1" width="12.125" customWidth="1"/>
    <col min="2" max="2" width="15.25" customWidth="1"/>
    <col min="3" max="10" width="11.125" customWidth="1"/>
    <col min="11" max="11" width="19.5" customWidth="1"/>
    <col min="12" max="13" width="18.5" customWidth="1"/>
    <col min="14" max="14" width="17.375" customWidth="1"/>
    <col min="15" max="15" width="11.125" customWidth="1"/>
    <col min="16" max="16" width="31.625" customWidth="1"/>
  </cols>
  <sheetData>
    <row r="1" spans="1:16" ht="22.5" customHeight="1">
      <c r="A1" s="7" t="s">
        <v>317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5.5" customHeight="1">
      <c r="A2" s="9" t="s">
        <v>318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31.5" customHeight="1">
      <c r="A4" s="5" t="s">
        <v>148</v>
      </c>
      <c r="B4" s="5" t="s">
        <v>115</v>
      </c>
      <c r="C4" s="5" t="s">
        <v>193</v>
      </c>
      <c r="D4" s="5" t="s">
        <v>319</v>
      </c>
      <c r="E4" s="5" t="s">
        <v>320</v>
      </c>
      <c r="F4" s="5" t="s">
        <v>321</v>
      </c>
      <c r="G4" s="5" t="s">
        <v>322</v>
      </c>
      <c r="H4" s="5" t="s">
        <v>323</v>
      </c>
      <c r="I4" s="5" t="s">
        <v>324</v>
      </c>
      <c r="J4" s="5" t="s">
        <v>325</v>
      </c>
      <c r="K4" s="5" t="s">
        <v>326</v>
      </c>
      <c r="L4" s="5" t="s">
        <v>297</v>
      </c>
      <c r="M4" s="5" t="s">
        <v>178</v>
      </c>
      <c r="N4" s="5" t="s">
        <v>181</v>
      </c>
      <c r="O4" s="5" t="s">
        <v>327</v>
      </c>
      <c r="P4" s="5" t="s">
        <v>127</v>
      </c>
    </row>
    <row r="5" spans="1:16" ht="25.5" customHeight="1">
      <c r="A5" s="4" t="s">
        <v>132</v>
      </c>
      <c r="B5" s="4"/>
      <c r="C5" s="4" t="s">
        <v>10</v>
      </c>
      <c r="D5" s="4">
        <v>0</v>
      </c>
      <c r="E5" s="4">
        <v>260</v>
      </c>
      <c r="F5" s="4">
        <v>3</v>
      </c>
      <c r="G5" s="4">
        <v>5</v>
      </c>
      <c r="H5" s="4">
        <v>65</v>
      </c>
      <c r="I5" s="4">
        <v>4</v>
      </c>
      <c r="J5" s="4">
        <v>3</v>
      </c>
      <c r="K5" s="4"/>
      <c r="L5" s="4"/>
      <c r="M5" s="4"/>
      <c r="N5" s="4"/>
      <c r="O5" s="4" t="s">
        <v>199</v>
      </c>
      <c r="P5" s="4" t="s">
        <v>328</v>
      </c>
    </row>
    <row r="6" spans="1:16" ht="25.5" customHeight="1">
      <c r="A6" s="4" t="s">
        <v>290</v>
      </c>
      <c r="B6" s="4"/>
      <c r="C6" s="4" t="s">
        <v>10</v>
      </c>
      <c r="D6" s="4">
        <v>0</v>
      </c>
      <c r="E6" s="4">
        <v>100</v>
      </c>
      <c r="F6" s="4">
        <v>2</v>
      </c>
      <c r="G6" s="4">
        <v>5</v>
      </c>
      <c r="H6" s="4">
        <v>65</v>
      </c>
      <c r="I6" s="4"/>
      <c r="J6" s="4">
        <v>7</v>
      </c>
      <c r="K6" s="4"/>
      <c r="L6" s="4"/>
      <c r="M6" s="4"/>
      <c r="N6" s="4"/>
      <c r="O6" s="4" t="s">
        <v>10</v>
      </c>
      <c r="P6" s="4" t="s">
        <v>329</v>
      </c>
    </row>
    <row r="7" spans="1:16" ht="25.5" customHeight="1">
      <c r="A7" s="4" t="s">
        <v>330</v>
      </c>
      <c r="B7" s="4"/>
      <c r="C7" s="4" t="s">
        <v>10</v>
      </c>
      <c r="D7" s="4">
        <v>0</v>
      </c>
      <c r="E7" s="4">
        <v>250</v>
      </c>
      <c r="F7" s="4">
        <v>4</v>
      </c>
      <c r="G7" s="4">
        <v>5</v>
      </c>
      <c r="H7" s="4"/>
      <c r="I7" s="4"/>
      <c r="J7" s="4"/>
      <c r="K7" s="4"/>
      <c r="L7" s="4"/>
      <c r="M7" s="4"/>
      <c r="N7" s="4"/>
      <c r="O7" s="4" t="s">
        <v>10</v>
      </c>
      <c r="P7" s="4" t="s">
        <v>90</v>
      </c>
    </row>
    <row r="8" spans="1:16" ht="25.5" customHeight="1">
      <c r="A8" s="4" t="s">
        <v>331</v>
      </c>
      <c r="B8" s="4"/>
      <c r="C8" s="4" t="s">
        <v>10</v>
      </c>
      <c r="D8" s="4">
        <v>0</v>
      </c>
      <c r="E8" s="4">
        <v>75</v>
      </c>
      <c r="F8" s="4">
        <v>1.5</v>
      </c>
      <c r="G8" s="4">
        <v>5</v>
      </c>
      <c r="H8" s="4">
        <v>30</v>
      </c>
      <c r="I8" s="4"/>
      <c r="J8" s="4"/>
      <c r="K8" s="4"/>
      <c r="L8" s="4"/>
      <c r="M8" s="4"/>
      <c r="N8" s="4"/>
      <c r="O8" s="4" t="s">
        <v>10</v>
      </c>
      <c r="P8" s="4" t="s">
        <v>332</v>
      </c>
    </row>
    <row r="9" spans="1:16" ht="25.5" customHeight="1">
      <c r="A9" s="4" t="s">
        <v>333</v>
      </c>
      <c r="B9" s="4"/>
      <c r="C9" s="4" t="s">
        <v>10</v>
      </c>
      <c r="D9" s="4">
        <v>0</v>
      </c>
      <c r="E9" s="4">
        <v>150</v>
      </c>
      <c r="F9" s="4">
        <v>2.5</v>
      </c>
      <c r="G9" s="4">
        <v>5</v>
      </c>
      <c r="H9" s="4">
        <v>90</v>
      </c>
      <c r="I9" s="4"/>
      <c r="J9" s="4">
        <v>4</v>
      </c>
      <c r="K9" s="4"/>
      <c r="L9" s="4"/>
      <c r="M9" s="4"/>
      <c r="N9" s="4"/>
      <c r="O9" s="4" t="s">
        <v>10</v>
      </c>
      <c r="P9" s="4" t="s">
        <v>334</v>
      </c>
    </row>
    <row r="10" spans="1:16" ht="25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5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5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5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5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5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5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5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5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</sheetData>
  <mergeCells count="2">
    <mergeCell ref="A1:P1"/>
    <mergeCell ref="A2:P2"/>
  </mergeCells>
  <dataValidations count="2">
    <dataValidation type="list" sqref="A5:A104" xr:uid="{00000000-0002-0000-0A00-000000000000}">
      <formula1>"impresión,grabado láser,revelado,limpieza,secado/curado,barnizado,laminado,estampado/foil,troquelado,rebobinado,empaque"</formula1>
    </dataValidation>
    <dataValidation type="list" sqref="C5:C104 O5:O104" xr:uid="{00000000-0002-0000-0A00-000001000000}">
      <formula1>"Sí,No"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6"/>
  <sheetViews>
    <sheetView showGridLines="0" workbookViewId="0">
      <selection activeCell="E12" sqref="E12"/>
    </sheetView>
  </sheetViews>
  <sheetFormatPr baseColWidth="10" defaultColWidth="9" defaultRowHeight="14.25"/>
  <cols>
    <col min="1" max="1" width="14.875" bestFit="1" customWidth="1"/>
    <col min="2" max="2" width="13.25" bestFit="1" customWidth="1"/>
    <col min="3" max="3" width="21.75" bestFit="1" customWidth="1"/>
  </cols>
  <sheetData>
    <row r="1" spans="1:3" ht="22.5" customHeight="1">
      <c r="A1" s="7" t="s">
        <v>335</v>
      </c>
      <c r="B1" s="8"/>
      <c r="C1" s="8"/>
    </row>
    <row r="2" spans="1:3" ht="33.75" customHeight="1">
      <c r="A2" s="9" t="s">
        <v>336</v>
      </c>
      <c r="B2" s="8"/>
      <c r="C2" s="8"/>
    </row>
    <row r="3" spans="1:3" ht="15">
      <c r="A3" s="2"/>
      <c r="B3" s="2"/>
      <c r="C3" s="2"/>
    </row>
    <row r="4" spans="1:3" ht="31.5" customHeight="1">
      <c r="A4" s="6" t="s">
        <v>337</v>
      </c>
      <c r="B4" s="6" t="s">
        <v>338</v>
      </c>
      <c r="C4" s="6" t="s">
        <v>339</v>
      </c>
    </row>
    <row r="5" spans="1:3" ht="25.5" customHeight="1">
      <c r="A5" s="4" t="s">
        <v>171</v>
      </c>
      <c r="B5" s="4" t="s">
        <v>196</v>
      </c>
      <c r="C5" s="4" t="s">
        <v>340</v>
      </c>
    </row>
    <row r="6" spans="1:3" ht="25.5" customHeight="1">
      <c r="A6" s="4" t="s">
        <v>171</v>
      </c>
      <c r="B6" s="4" t="s">
        <v>265</v>
      </c>
      <c r="C6" s="4" t="s">
        <v>340</v>
      </c>
    </row>
    <row r="7" spans="1:3" ht="25.5" customHeight="1">
      <c r="A7" s="4" t="s">
        <v>171</v>
      </c>
      <c r="B7" s="4" t="s">
        <v>282</v>
      </c>
      <c r="C7" s="4" t="s">
        <v>340</v>
      </c>
    </row>
    <row r="8" spans="1:3" ht="25.5" customHeight="1">
      <c r="A8" s="4" t="s">
        <v>171</v>
      </c>
      <c r="B8" s="4" t="s">
        <v>290</v>
      </c>
      <c r="C8" s="4" t="s">
        <v>340</v>
      </c>
    </row>
    <row r="9" spans="1:3" ht="25.5" customHeight="1">
      <c r="A9" s="4" t="s">
        <v>171</v>
      </c>
      <c r="B9" s="4" t="s">
        <v>302</v>
      </c>
      <c r="C9" s="4" t="s">
        <v>340</v>
      </c>
    </row>
    <row r="10" spans="1:3" ht="25.5" customHeight="1">
      <c r="A10" s="4" t="s">
        <v>171</v>
      </c>
      <c r="B10" s="4" t="s">
        <v>314</v>
      </c>
      <c r="C10" s="4" t="s">
        <v>340</v>
      </c>
    </row>
    <row r="11" spans="1:3" ht="25.5" customHeight="1">
      <c r="A11" s="4" t="s">
        <v>171</v>
      </c>
      <c r="B11" s="4" t="s">
        <v>341</v>
      </c>
      <c r="C11" s="4" t="s">
        <v>340</v>
      </c>
    </row>
    <row r="12" spans="1:3" ht="25.5" customHeight="1">
      <c r="A12" s="4" t="s">
        <v>342</v>
      </c>
      <c r="B12" s="4" t="s">
        <v>10</v>
      </c>
      <c r="C12" s="4" t="s">
        <v>343</v>
      </c>
    </row>
    <row r="13" spans="1:3" ht="25.5" customHeight="1">
      <c r="A13" s="4" t="s">
        <v>342</v>
      </c>
      <c r="B13" s="4" t="s">
        <v>199</v>
      </c>
      <c r="C13" s="4" t="s">
        <v>343</v>
      </c>
    </row>
    <row r="14" spans="1:3" ht="25.5" customHeight="1">
      <c r="A14" s="4" t="s">
        <v>118</v>
      </c>
      <c r="B14" s="4" t="s">
        <v>134</v>
      </c>
      <c r="C14" s="4" t="s">
        <v>8</v>
      </c>
    </row>
    <row r="15" spans="1:3" ht="25.5" customHeight="1">
      <c r="A15" s="4" t="s">
        <v>118</v>
      </c>
      <c r="B15" s="4" t="s">
        <v>143</v>
      </c>
      <c r="C15" s="4" t="s">
        <v>8</v>
      </c>
    </row>
    <row r="16" spans="1:3" ht="25.5" customHeight="1">
      <c r="A16" s="4" t="s">
        <v>118</v>
      </c>
      <c r="B16" s="4" t="s">
        <v>165</v>
      </c>
      <c r="C16" s="4" t="s">
        <v>8</v>
      </c>
    </row>
    <row r="17" spans="1:3" ht="25.5" customHeight="1">
      <c r="A17" s="4" t="s">
        <v>118</v>
      </c>
      <c r="B17" s="4" t="s">
        <v>344</v>
      </c>
      <c r="C17" s="4" t="s">
        <v>8</v>
      </c>
    </row>
    <row r="18" spans="1:3" ht="25.5" customHeight="1">
      <c r="A18" s="4" t="s">
        <v>148</v>
      </c>
      <c r="B18" s="4" t="s">
        <v>132</v>
      </c>
      <c r="C18" s="4" t="s">
        <v>345</v>
      </c>
    </row>
    <row r="19" spans="1:3" ht="25.5" customHeight="1">
      <c r="A19" s="4" t="s">
        <v>148</v>
      </c>
      <c r="B19" s="4" t="s">
        <v>162</v>
      </c>
      <c r="C19" s="4" t="s">
        <v>345</v>
      </c>
    </row>
    <row r="20" spans="1:3" ht="25.5" customHeight="1">
      <c r="A20" s="4" t="s">
        <v>148</v>
      </c>
      <c r="B20" s="4" t="s">
        <v>346</v>
      </c>
      <c r="C20" s="4" t="s">
        <v>345</v>
      </c>
    </row>
    <row r="21" spans="1:3" ht="25.5" customHeight="1">
      <c r="A21" s="4" t="s">
        <v>148</v>
      </c>
      <c r="B21" s="4" t="s">
        <v>347</v>
      </c>
      <c r="C21" s="4" t="s">
        <v>345</v>
      </c>
    </row>
    <row r="22" spans="1:3" ht="25.5" customHeight="1">
      <c r="A22" s="4" t="s">
        <v>148</v>
      </c>
      <c r="B22" s="4" t="s">
        <v>348</v>
      </c>
      <c r="C22" s="4" t="s">
        <v>345</v>
      </c>
    </row>
    <row r="23" spans="1:3" ht="25.5" customHeight="1">
      <c r="A23" s="4" t="s">
        <v>148</v>
      </c>
      <c r="B23" s="4" t="s">
        <v>331</v>
      </c>
      <c r="C23" s="4" t="s">
        <v>345</v>
      </c>
    </row>
    <row r="24" spans="1:3" ht="25.5" customHeight="1">
      <c r="A24" s="4" t="s">
        <v>148</v>
      </c>
      <c r="B24" s="4" t="s">
        <v>290</v>
      </c>
      <c r="C24" s="4" t="s">
        <v>345</v>
      </c>
    </row>
    <row r="25" spans="1:3" ht="25.5" customHeight="1">
      <c r="A25" s="4" t="s">
        <v>148</v>
      </c>
      <c r="B25" s="4" t="s">
        <v>330</v>
      </c>
      <c r="C25" s="4" t="s">
        <v>345</v>
      </c>
    </row>
    <row r="26" spans="1:3" ht="25.5" customHeight="1">
      <c r="A26" s="4" t="s">
        <v>148</v>
      </c>
      <c r="B26" s="4" t="s">
        <v>333</v>
      </c>
      <c r="C26" s="4" t="s">
        <v>345</v>
      </c>
    </row>
    <row r="27" spans="1:3" ht="25.5" customHeight="1">
      <c r="A27" s="4" t="s">
        <v>148</v>
      </c>
      <c r="B27" s="4" t="s">
        <v>349</v>
      </c>
      <c r="C27" s="4" t="s">
        <v>345</v>
      </c>
    </row>
    <row r="28" spans="1:3" ht="25.5" customHeight="1">
      <c r="A28" s="4" t="s">
        <v>148</v>
      </c>
      <c r="B28" s="4" t="s">
        <v>350</v>
      </c>
      <c r="C28" s="4" t="s">
        <v>345</v>
      </c>
    </row>
    <row r="29" spans="1:3" ht="25.5" customHeight="1">
      <c r="A29" s="4" t="s">
        <v>351</v>
      </c>
      <c r="B29" s="4" t="s">
        <v>203</v>
      </c>
      <c r="C29" s="4" t="s">
        <v>39</v>
      </c>
    </row>
    <row r="30" spans="1:3" ht="25.5" customHeight="1">
      <c r="A30" s="4" t="s">
        <v>351</v>
      </c>
      <c r="B30" s="4" t="s">
        <v>198</v>
      </c>
      <c r="C30" s="4" t="s">
        <v>39</v>
      </c>
    </row>
    <row r="31" spans="1:3" ht="25.5" customHeight="1">
      <c r="A31" s="4" t="s">
        <v>259</v>
      </c>
      <c r="B31" s="4" t="s">
        <v>268</v>
      </c>
      <c r="C31" s="4" t="s">
        <v>352</v>
      </c>
    </row>
    <row r="32" spans="1:3" ht="25.5" customHeight="1">
      <c r="A32" s="4" t="s">
        <v>259</v>
      </c>
      <c r="B32" s="4" t="s">
        <v>353</v>
      </c>
      <c r="C32" s="4" t="s">
        <v>352</v>
      </c>
    </row>
    <row r="33" spans="1:3" ht="25.5" customHeight="1">
      <c r="A33" s="4" t="s">
        <v>261</v>
      </c>
      <c r="B33" s="4" t="s">
        <v>269</v>
      </c>
      <c r="C33" s="4" t="s">
        <v>352</v>
      </c>
    </row>
    <row r="34" spans="1:3" ht="25.5" customHeight="1">
      <c r="A34" s="4" t="s">
        <v>261</v>
      </c>
      <c r="B34" s="4" t="s">
        <v>354</v>
      </c>
      <c r="C34" s="4" t="s">
        <v>352</v>
      </c>
    </row>
    <row r="35" spans="1:3" ht="25.5" customHeight="1">
      <c r="A35" s="1"/>
      <c r="B35" s="1"/>
      <c r="C35" s="1"/>
    </row>
    <row r="36" spans="1:3" ht="25.5" customHeight="1">
      <c r="A36" s="1"/>
      <c r="B36" s="1"/>
      <c r="C36" s="1"/>
    </row>
    <row r="37" spans="1:3" ht="25.5" customHeight="1">
      <c r="A37" s="1"/>
      <c r="B37" s="1"/>
      <c r="C37" s="1"/>
    </row>
    <row r="38" spans="1:3" ht="25.5" customHeight="1">
      <c r="A38" s="1"/>
      <c r="B38" s="1"/>
      <c r="C38" s="1"/>
    </row>
    <row r="39" spans="1:3" ht="25.5" customHeight="1">
      <c r="A39" s="1"/>
      <c r="B39" s="1"/>
      <c r="C39" s="1"/>
    </row>
    <row r="40" spans="1:3" ht="25.5" customHeight="1">
      <c r="A40" s="1"/>
      <c r="B40" s="1"/>
      <c r="C40" s="1"/>
    </row>
    <row r="41" spans="1:3" ht="25.5" customHeight="1">
      <c r="A41" s="1"/>
      <c r="B41" s="1"/>
      <c r="C41" s="1"/>
    </row>
    <row r="42" spans="1:3" ht="25.5" customHeight="1">
      <c r="A42" s="1"/>
      <c r="B42" s="1"/>
      <c r="C42" s="1"/>
    </row>
    <row r="43" spans="1:3" ht="25.5" customHeight="1">
      <c r="A43" s="1"/>
      <c r="B43" s="1"/>
      <c r="C43" s="1"/>
    </row>
    <row r="44" spans="1:3" ht="25.5" customHeight="1">
      <c r="A44" s="1"/>
      <c r="B44" s="1"/>
      <c r="C44" s="1"/>
    </row>
    <row r="45" spans="1:3" ht="25.5" customHeight="1">
      <c r="A45" s="1"/>
      <c r="B45" s="1"/>
      <c r="C45" s="1"/>
    </row>
    <row r="46" spans="1:3" ht="25.5" customHeight="1">
      <c r="A46" s="1"/>
      <c r="B46" s="1"/>
      <c r="C46" s="1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00_Guia</vt:lpstr>
      <vt:lpstr>01_Maquinas</vt:lpstr>
      <vt:lpstr>02_Capacidades</vt:lpstr>
      <vt:lpstr>03_Sustratos</vt:lpstr>
      <vt:lpstr>04_Troqueles</vt:lpstr>
      <vt:lpstr>05_Tintas</vt:lpstr>
      <vt:lpstr>06_Barnices</vt:lpstr>
      <vt:lpstr>07_Laminantes</vt:lpstr>
      <vt:lpstr>08_Foil</vt:lpstr>
      <vt:lpstr>09_Planchas</vt:lpstr>
      <vt:lpstr>10_Mermas_Costos</vt:lpstr>
      <vt:lpstr>11_Listas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Esquivel</cp:lastModifiedBy>
  <dcterms:modified xsi:type="dcterms:W3CDTF">2026-05-18T16:45:41Z</dcterms:modified>
</cp:coreProperties>
</file>